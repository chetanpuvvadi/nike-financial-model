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chetan/Documents/"/>
    </mc:Choice>
  </mc:AlternateContent>
  <xr:revisionPtr revIDLastSave="0" documentId="8_{FEB20EF0-A303-0745-B980-447AD443AB40}" xr6:coauthVersionLast="47" xr6:coauthVersionMax="47" xr10:uidLastSave="{00000000-0000-0000-0000-000000000000}"/>
  <bookViews>
    <workbookView xWindow="0" yWindow="660" windowWidth="29400" windowHeight="18460" tabRatio="500" activeTab="2" xr2:uid="{00000000-000D-0000-FFFF-FFFF00000000}"/>
  </bookViews>
  <sheets>
    <sheet name="Cover" sheetId="1" r:id="rId1"/>
    <sheet name="Outputs" sheetId="2" r:id="rId2"/>
    <sheet name="Inputs" sheetId="3" r:id="rId3"/>
    <sheet name="Model" sheetId="4" r:id="rId4"/>
    <sheet name="DCF" sheetId="5" r:id="rId5"/>
    <sheet name="Comp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9" i="3" l="1" a="1"/>
  <c r="K79" i="3" s="1"/>
  <c r="J79" i="3" a="1"/>
  <c r="J79" i="3" s="1"/>
  <c r="I79" i="3" a="1"/>
  <c r="I79" i="3" s="1"/>
  <c r="H79" i="3" a="1"/>
  <c r="H79" i="3" s="1"/>
  <c r="G79" i="3" a="1"/>
  <c r="G79" i="3" s="1"/>
  <c r="K58" i="3" a="1"/>
  <c r="K58" i="3" s="1"/>
  <c r="J58" i="3" a="1"/>
  <c r="J58" i="3" s="1"/>
  <c r="I58" i="3" a="1"/>
  <c r="I58" i="3" s="1"/>
  <c r="H58" i="3" a="1"/>
  <c r="H58" i="3" s="1"/>
  <c r="G58" i="3" a="1"/>
  <c r="G58" i="3" s="1"/>
  <c r="K49" i="3" a="1"/>
  <c r="K49" i="3" s="1"/>
  <c r="J49" i="3" a="1"/>
  <c r="J49" i="3" s="1"/>
  <c r="I49" i="3" a="1"/>
  <c r="I49" i="3" s="1"/>
  <c r="H49" i="3" a="1"/>
  <c r="H49" i="3" s="1"/>
  <c r="G49" i="3" a="1"/>
  <c r="G49" i="3" s="1"/>
  <c r="G16" i="4" s="1"/>
  <c r="K42" i="3" a="1"/>
  <c r="K42" i="3" s="1"/>
  <c r="J42" i="3" a="1"/>
  <c r="J42" i="3" s="1"/>
  <c r="I42" i="3" a="1"/>
  <c r="I42" i="3" s="1"/>
  <c r="H42" i="3" a="1"/>
  <c r="H42" i="3" s="1"/>
  <c r="G42" i="3" a="1"/>
  <c r="G42" i="3" s="1"/>
  <c r="G13" i="4" s="1"/>
  <c r="K35" i="3" a="1"/>
  <c r="K35" i="3" s="1"/>
  <c r="J35" i="3" a="1"/>
  <c r="J35" i="3" s="1"/>
  <c r="I35" i="3" a="1"/>
  <c r="I35" i="3" s="1"/>
  <c r="H35" i="3" a="1"/>
  <c r="H35" i="3" s="1"/>
  <c r="G35" i="3" a="1"/>
  <c r="G35" i="3" s="1"/>
  <c r="G12" i="4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G11" i="4" s="1"/>
  <c r="K21" i="3" a="1"/>
  <c r="K21" i="3" s="1"/>
  <c r="J21" i="3" a="1"/>
  <c r="J21" i="3" s="1"/>
  <c r="I21" i="3" a="1"/>
  <c r="I21" i="3" s="1"/>
  <c r="H21" i="3" a="1"/>
  <c r="H21" i="3" s="1"/>
  <c r="G21" i="3" a="1"/>
  <c r="G21" i="3" s="1"/>
  <c r="G10" i="4" s="1"/>
  <c r="K14" i="3" a="1"/>
  <c r="K14" i="3" s="1"/>
  <c r="J14" i="3" a="1"/>
  <c r="J14" i="3" s="1"/>
  <c r="I14" i="3" a="1"/>
  <c r="I14" i="3" s="1"/>
  <c r="H14" i="3" a="1"/>
  <c r="H14" i="3" s="1"/>
  <c r="G14" i="3" a="1"/>
  <c r="G14" i="3" s="1"/>
  <c r="G9" i="4" s="1"/>
  <c r="P12" i="6"/>
  <c r="N12" i="6"/>
  <c r="I12" i="6"/>
  <c r="J12" i="6" s="1"/>
  <c r="O12" i="6" s="1"/>
  <c r="F12" i="6"/>
  <c r="P11" i="6"/>
  <c r="J11" i="6"/>
  <c r="I11" i="6"/>
  <c r="F11" i="6"/>
  <c r="P10" i="6"/>
  <c r="N10" i="6"/>
  <c r="I10" i="6"/>
  <c r="F10" i="6"/>
  <c r="J10" i="6" s="1"/>
  <c r="O10" i="6" s="1"/>
  <c r="P9" i="6"/>
  <c r="N9" i="6"/>
  <c r="I9" i="6"/>
  <c r="J9" i="6" s="1"/>
  <c r="O9" i="6" s="1"/>
  <c r="F9" i="6"/>
  <c r="P8" i="6"/>
  <c r="O8" i="6"/>
  <c r="I8" i="6"/>
  <c r="J8" i="6" s="1"/>
  <c r="N8" i="6" s="1"/>
  <c r="F8" i="6"/>
  <c r="P7" i="6"/>
  <c r="P13" i="6" s="1"/>
  <c r="J7" i="6"/>
  <c r="I7" i="6"/>
  <c r="F7" i="6"/>
  <c r="H45" i="5"/>
  <c r="G45" i="5"/>
  <c r="F45" i="5"/>
  <c r="E45" i="5"/>
  <c r="D45" i="5"/>
  <c r="K8" i="5"/>
  <c r="J8" i="5"/>
  <c r="I8" i="5"/>
  <c r="H8" i="5"/>
  <c r="G8" i="5"/>
  <c r="G186" i="4"/>
  <c r="G187" i="4" s="1"/>
  <c r="F186" i="4"/>
  <c r="E186" i="4"/>
  <c r="F185" i="4"/>
  <c r="G185" i="4" s="1"/>
  <c r="G180" i="4" s="1"/>
  <c r="G108" i="4" s="1"/>
  <c r="E185" i="4"/>
  <c r="D185" i="4"/>
  <c r="G178" i="4"/>
  <c r="F178" i="4"/>
  <c r="E178" i="4"/>
  <c r="G173" i="4"/>
  <c r="F173" i="4"/>
  <c r="E173" i="4"/>
  <c r="D173" i="4"/>
  <c r="K169" i="4"/>
  <c r="J169" i="4"/>
  <c r="I169" i="4"/>
  <c r="H169" i="4"/>
  <c r="G169" i="4"/>
  <c r="D168" i="4"/>
  <c r="G164" i="4"/>
  <c r="K163" i="4"/>
  <c r="J163" i="4"/>
  <c r="I163" i="4"/>
  <c r="H163" i="4"/>
  <c r="G163" i="4"/>
  <c r="G159" i="4"/>
  <c r="F159" i="4"/>
  <c r="E159" i="4"/>
  <c r="D159" i="4"/>
  <c r="K154" i="4"/>
  <c r="J154" i="4"/>
  <c r="I154" i="4"/>
  <c r="H154" i="4"/>
  <c r="G154" i="4"/>
  <c r="K151" i="4"/>
  <c r="K104" i="4" s="1"/>
  <c r="J151" i="4"/>
  <c r="J104" i="4" s="1"/>
  <c r="I151" i="4"/>
  <c r="I104" i="4" s="1"/>
  <c r="H151" i="4"/>
  <c r="H104" i="4" s="1"/>
  <c r="G151" i="4"/>
  <c r="G104" i="4" s="1"/>
  <c r="G150" i="4"/>
  <c r="F150" i="4"/>
  <c r="E150" i="4"/>
  <c r="D150" i="4"/>
  <c r="G140" i="4"/>
  <c r="F140" i="4"/>
  <c r="E140" i="4"/>
  <c r="D140" i="4"/>
  <c r="F136" i="4"/>
  <c r="E136" i="4"/>
  <c r="F135" i="4"/>
  <c r="E135" i="4"/>
  <c r="F134" i="4"/>
  <c r="E134" i="4"/>
  <c r="K130" i="4"/>
  <c r="J130" i="4"/>
  <c r="I130" i="4"/>
  <c r="H130" i="4"/>
  <c r="G130" i="4"/>
  <c r="K127" i="4"/>
  <c r="J127" i="4"/>
  <c r="I127" i="4"/>
  <c r="H127" i="4"/>
  <c r="G127" i="4"/>
  <c r="K124" i="4"/>
  <c r="J124" i="4"/>
  <c r="I124" i="4"/>
  <c r="H124" i="4"/>
  <c r="G124" i="4"/>
  <c r="F122" i="4"/>
  <c r="E122" i="4"/>
  <c r="D122" i="4"/>
  <c r="F108" i="4"/>
  <c r="E108" i="4"/>
  <c r="D108" i="4"/>
  <c r="F107" i="4"/>
  <c r="E107" i="4"/>
  <c r="D107" i="4"/>
  <c r="F98" i="4"/>
  <c r="F101" i="4" s="1"/>
  <c r="E98" i="4"/>
  <c r="E101" i="4" s="1"/>
  <c r="D98" i="4"/>
  <c r="D101" i="4" s="1"/>
  <c r="F87" i="4"/>
  <c r="E87" i="4"/>
  <c r="D87" i="4"/>
  <c r="F86" i="4"/>
  <c r="E86" i="4"/>
  <c r="D86" i="4"/>
  <c r="G73" i="4"/>
  <c r="H73" i="4" s="1"/>
  <c r="I73" i="4" s="1"/>
  <c r="J73" i="4" s="1"/>
  <c r="K73" i="4" s="1"/>
  <c r="F72" i="4"/>
  <c r="E72" i="4"/>
  <c r="D72" i="4"/>
  <c r="F71" i="4"/>
  <c r="E71" i="4"/>
  <c r="D71" i="4"/>
  <c r="G67" i="4"/>
  <c r="H67" i="4" s="1"/>
  <c r="I67" i="4" s="1"/>
  <c r="J67" i="4" s="1"/>
  <c r="K67" i="4" s="1"/>
  <c r="G66" i="4"/>
  <c r="H66" i="4" s="1"/>
  <c r="I66" i="4" s="1"/>
  <c r="J66" i="4" s="1"/>
  <c r="K66" i="4" s="1"/>
  <c r="F65" i="4"/>
  <c r="E65" i="4"/>
  <c r="D65" i="4"/>
  <c r="F64" i="4"/>
  <c r="E64" i="4"/>
  <c r="D64" i="4"/>
  <c r="G61" i="4"/>
  <c r="H61" i="4" s="1"/>
  <c r="I61" i="4" s="1"/>
  <c r="J61" i="4" s="1"/>
  <c r="K61" i="4" s="1"/>
  <c r="G60" i="4"/>
  <c r="H60" i="4" s="1"/>
  <c r="I60" i="4" s="1"/>
  <c r="J60" i="4" s="1"/>
  <c r="K60" i="4" s="1"/>
  <c r="G59" i="4"/>
  <c r="H59" i="4" s="1"/>
  <c r="I59" i="4" s="1"/>
  <c r="J59" i="4" s="1"/>
  <c r="K59" i="4" s="1"/>
  <c r="F58" i="4"/>
  <c r="F62" i="4" s="1"/>
  <c r="E58" i="4"/>
  <c r="E62" i="4" s="1"/>
  <c r="D58" i="4"/>
  <c r="D62" i="4" s="1"/>
  <c r="G54" i="4"/>
  <c r="H54" i="4" s="1"/>
  <c r="I54" i="4" s="1"/>
  <c r="J54" i="4" s="1"/>
  <c r="K54" i="4" s="1"/>
  <c r="G53" i="4"/>
  <c r="H53" i="4" s="1"/>
  <c r="I53" i="4" s="1"/>
  <c r="J53" i="4" s="1"/>
  <c r="K53" i="4" s="1"/>
  <c r="G52" i="4"/>
  <c r="H52" i="4" s="1"/>
  <c r="I52" i="4" s="1"/>
  <c r="J52" i="4" s="1"/>
  <c r="K52" i="4" s="1"/>
  <c r="F51" i="4"/>
  <c r="E51" i="4"/>
  <c r="D51" i="4"/>
  <c r="G48" i="4"/>
  <c r="H48" i="4" s="1"/>
  <c r="I48" i="4" s="1"/>
  <c r="J48" i="4" s="1"/>
  <c r="K48" i="4" s="1"/>
  <c r="F47" i="4"/>
  <c r="F73" i="3" s="1"/>
  <c r="F127" i="4" s="1"/>
  <c r="E47" i="4"/>
  <c r="D47" i="4"/>
  <c r="D73" i="3" s="1"/>
  <c r="D127" i="4" s="1"/>
  <c r="F46" i="4"/>
  <c r="E46" i="4"/>
  <c r="D46" i="4"/>
  <c r="G45" i="4"/>
  <c r="H45" i="4" s="1"/>
  <c r="I45" i="4" s="1"/>
  <c r="J45" i="4" s="1"/>
  <c r="K45" i="4" s="1"/>
  <c r="F36" i="4"/>
  <c r="F29" i="6" s="1"/>
  <c r="E36" i="4"/>
  <c r="D36" i="4"/>
  <c r="F25" i="4"/>
  <c r="E25" i="4"/>
  <c r="D25" i="4"/>
  <c r="G17" i="4"/>
  <c r="H17" i="4" s="1"/>
  <c r="I17" i="4" s="1"/>
  <c r="J17" i="4" s="1"/>
  <c r="K17" i="4" s="1"/>
  <c r="F14" i="4"/>
  <c r="F18" i="4" s="1"/>
  <c r="E14" i="4"/>
  <c r="E18" i="4" s="1"/>
  <c r="E86" i="3" s="1"/>
  <c r="D14" i="4"/>
  <c r="D18" i="4" s="1"/>
  <c r="D86" i="3" s="1"/>
  <c r="F112" i="3"/>
  <c r="F113" i="3" s="1"/>
  <c r="F114" i="3" s="1"/>
  <c r="F110" i="3"/>
  <c r="F107" i="3"/>
  <c r="B83" i="3"/>
  <c r="B82" i="3"/>
  <c r="B81" i="3"/>
  <c r="F74" i="3"/>
  <c r="F130" i="4" s="1"/>
  <c r="D74" i="3"/>
  <c r="D130" i="4" s="1"/>
  <c r="E73" i="3"/>
  <c r="E127" i="4" s="1"/>
  <c r="B62" i="3"/>
  <c r="B61" i="3"/>
  <c r="B60" i="3"/>
  <c r="B53" i="3"/>
  <c r="B52" i="3"/>
  <c r="B51" i="3"/>
  <c r="F49" i="3"/>
  <c r="E49" i="3"/>
  <c r="B46" i="3"/>
  <c r="B45" i="3"/>
  <c r="B44" i="3"/>
  <c r="F42" i="3"/>
  <c r="E42" i="3"/>
  <c r="B39" i="3"/>
  <c r="B38" i="3"/>
  <c r="B37" i="3"/>
  <c r="F35" i="3"/>
  <c r="E35" i="3"/>
  <c r="B32" i="3"/>
  <c r="B31" i="3"/>
  <c r="B30" i="3"/>
  <c r="F28" i="3"/>
  <c r="E28" i="3"/>
  <c r="B25" i="3"/>
  <c r="B24" i="3"/>
  <c r="B23" i="3"/>
  <c r="F21" i="3"/>
  <c r="E21" i="3"/>
  <c r="F14" i="3"/>
  <c r="E14" i="3"/>
  <c r="D29" i="2"/>
  <c r="D5" i="2"/>
  <c r="F74" i="4" l="1"/>
  <c r="F115" i="3"/>
  <c r="F116" i="3" s="1"/>
  <c r="N17" i="1" s="1"/>
  <c r="H16" i="4"/>
  <c r="I16" i="4" s="1"/>
  <c r="H12" i="4"/>
  <c r="I12" i="4" s="1"/>
  <c r="J12" i="4" s="1"/>
  <c r="K12" i="4" s="1"/>
  <c r="H11" i="4"/>
  <c r="I11" i="4" s="1"/>
  <c r="J11" i="4" s="1"/>
  <c r="K11" i="4" s="1"/>
  <c r="J16" i="4"/>
  <c r="K16" i="4" s="1"/>
  <c r="H10" i="4"/>
  <c r="I10" i="4" s="1"/>
  <c r="J10" i="4" s="1"/>
  <c r="K10" i="4" s="1"/>
  <c r="D23" i="2"/>
  <c r="D110" i="4"/>
  <c r="H185" i="4"/>
  <c r="I185" i="4" s="1"/>
  <c r="D74" i="4"/>
  <c r="D68" i="4"/>
  <c r="E74" i="4"/>
  <c r="F68" i="4"/>
  <c r="F76" i="4" s="1"/>
  <c r="D72" i="3"/>
  <c r="D124" i="4" s="1"/>
  <c r="E72" i="3"/>
  <c r="E124" i="4" s="1"/>
  <c r="E65" i="3"/>
  <c r="E66" i="3"/>
  <c r="F20" i="6"/>
  <c r="D17" i="2"/>
  <c r="F86" i="3"/>
  <c r="F121" i="4"/>
  <c r="F72" i="3"/>
  <c r="F124" i="4" s="1"/>
  <c r="F79" i="3"/>
  <c r="F66" i="3"/>
  <c r="F65" i="3"/>
  <c r="F21" i="4"/>
  <c r="E74" i="3"/>
  <c r="E130" i="4" s="1"/>
  <c r="E79" i="3"/>
  <c r="E110" i="4"/>
  <c r="F137" i="4"/>
  <c r="G155" i="4"/>
  <c r="E21" i="4"/>
  <c r="F110" i="4"/>
  <c r="E137" i="4"/>
  <c r="G14" i="4"/>
  <c r="G18" i="4" s="1"/>
  <c r="H9" i="4"/>
  <c r="O7" i="6"/>
  <c r="N7" i="6"/>
  <c r="O11" i="6"/>
  <c r="N11" i="6"/>
  <c r="C49" i="5"/>
  <c r="G16" i="5"/>
  <c r="C47" i="5"/>
  <c r="K16" i="5"/>
  <c r="C46" i="5"/>
  <c r="D28" i="2"/>
  <c r="C50" i="5"/>
  <c r="C48" i="5"/>
  <c r="J16" i="5"/>
  <c r="D121" i="4"/>
  <c r="D21" i="4"/>
  <c r="D65" i="3"/>
  <c r="D79" i="3"/>
  <c r="D66" i="3"/>
  <c r="H13" i="4"/>
  <c r="I13" i="4" s="1"/>
  <c r="J13" i="4" s="1"/>
  <c r="K13" i="4" s="1"/>
  <c r="H16" i="5"/>
  <c r="I16" i="5"/>
  <c r="P14" i="6"/>
  <c r="E68" i="4"/>
  <c r="E121" i="4"/>
  <c r="G152" i="4"/>
  <c r="G36" i="4"/>
  <c r="H186" i="4"/>
  <c r="H187" i="4" s="1"/>
  <c r="D76" i="4" l="1"/>
  <c r="E76" i="4"/>
  <c r="E27" i="4"/>
  <c r="E31" i="4" s="1"/>
  <c r="E58" i="3"/>
  <c r="F27" i="4"/>
  <c r="F58" i="3"/>
  <c r="D19" i="2"/>
  <c r="J185" i="4"/>
  <c r="D27" i="4"/>
  <c r="D31" i="4" s="1"/>
  <c r="D58" i="3"/>
  <c r="I9" i="4"/>
  <c r="H14" i="4"/>
  <c r="H18" i="4" s="1"/>
  <c r="N13" i="6"/>
  <c r="F23" i="6" s="1"/>
  <c r="N14" i="6"/>
  <c r="I186" i="4"/>
  <c r="I187" i="4" s="1"/>
  <c r="I180" i="4" s="1"/>
  <c r="I108" i="4" s="1"/>
  <c r="H36" i="4"/>
  <c r="G174" i="4"/>
  <c r="G141" i="4"/>
  <c r="G121" i="4"/>
  <c r="G125" i="4" s="1"/>
  <c r="G20" i="4"/>
  <c r="G122" i="4" s="1"/>
  <c r="G142" i="4"/>
  <c r="G23" i="4"/>
  <c r="G30" i="4"/>
  <c r="G24" i="4"/>
  <c r="H180" i="4"/>
  <c r="H108" i="4" s="1"/>
  <c r="G64" i="4"/>
  <c r="H150" i="4"/>
  <c r="O13" i="6"/>
  <c r="O14" i="6"/>
  <c r="F21" i="6" l="1"/>
  <c r="F31" i="4"/>
  <c r="D20" i="2"/>
  <c r="E34" i="4"/>
  <c r="E87" i="3"/>
  <c r="G128" i="4"/>
  <c r="G131" i="4"/>
  <c r="H152" i="4"/>
  <c r="H155" i="4"/>
  <c r="G86" i="4"/>
  <c r="G10" i="5"/>
  <c r="G46" i="4"/>
  <c r="G134" i="4"/>
  <c r="J9" i="4"/>
  <c r="I14" i="4"/>
  <c r="I18" i="4" s="1"/>
  <c r="G87" i="4"/>
  <c r="G175" i="4"/>
  <c r="D87" i="3"/>
  <c r="D34" i="4"/>
  <c r="G21" i="4"/>
  <c r="H141" i="4"/>
  <c r="H121" i="4"/>
  <c r="H125" i="4" s="1"/>
  <c r="H20" i="4"/>
  <c r="H122" i="4" s="1"/>
  <c r="H30" i="4"/>
  <c r="H142" i="4"/>
  <c r="H174" i="4"/>
  <c r="H87" i="4" s="1"/>
  <c r="H24" i="4"/>
  <c r="H23" i="4"/>
  <c r="G11" i="5"/>
  <c r="G98" i="4"/>
  <c r="G101" i="4" s="1"/>
  <c r="G143" i="4"/>
  <c r="F118" i="3"/>
  <c r="D30" i="2" s="1"/>
  <c r="F24" i="6"/>
  <c r="G25" i="4"/>
  <c r="J186" i="4"/>
  <c r="J187" i="4" s="1"/>
  <c r="I36" i="4"/>
  <c r="K185" i="4"/>
  <c r="G27" i="4" l="1"/>
  <c r="G7" i="5" s="1"/>
  <c r="G9" i="5" s="1"/>
  <c r="F34" i="4"/>
  <c r="F87" i="3"/>
  <c r="E85" i="4"/>
  <c r="E95" i="4" s="1"/>
  <c r="E113" i="4" s="1"/>
  <c r="E37" i="4"/>
  <c r="E179" i="4"/>
  <c r="K186" i="4"/>
  <c r="K187" i="4" s="1"/>
  <c r="K36" i="4" s="1"/>
  <c r="E23" i="2" s="1"/>
  <c r="J36" i="4"/>
  <c r="H21" i="4"/>
  <c r="D85" i="4"/>
  <c r="D95" i="4" s="1"/>
  <c r="D113" i="4" s="1"/>
  <c r="D115" i="4" s="1"/>
  <c r="D37" i="4"/>
  <c r="D179" i="4"/>
  <c r="D178" i="4" s="1"/>
  <c r="H86" i="4"/>
  <c r="H10" i="5"/>
  <c r="H128" i="4"/>
  <c r="H131" i="4"/>
  <c r="G136" i="4"/>
  <c r="G94" i="4" s="1"/>
  <c r="G58" i="4"/>
  <c r="G62" i="4" s="1"/>
  <c r="H173" i="4"/>
  <c r="H175" i="4" s="1"/>
  <c r="G71" i="4"/>
  <c r="H140" i="4"/>
  <c r="H143" i="4" s="1"/>
  <c r="G51" i="4"/>
  <c r="H64" i="4"/>
  <c r="I150" i="4"/>
  <c r="J180" i="4"/>
  <c r="J108" i="4" s="1"/>
  <c r="I174" i="4"/>
  <c r="I87" i="4" s="1"/>
  <c r="I24" i="4"/>
  <c r="I142" i="4"/>
  <c r="I121" i="4"/>
  <c r="I125" i="4" s="1"/>
  <c r="I30" i="4"/>
  <c r="I20" i="4"/>
  <c r="I122" i="4" s="1"/>
  <c r="I23" i="4"/>
  <c r="I141" i="4"/>
  <c r="H46" i="4"/>
  <c r="H134" i="4"/>
  <c r="K9" i="4"/>
  <c r="K14" i="4" s="1"/>
  <c r="K18" i="4" s="1"/>
  <c r="J14" i="4"/>
  <c r="J18" i="4" s="1"/>
  <c r="H25" i="4"/>
  <c r="H98" i="4"/>
  <c r="H101" i="4" s="1"/>
  <c r="H11" i="5"/>
  <c r="G91" i="4"/>
  <c r="G135" i="4"/>
  <c r="G92" i="4" s="1"/>
  <c r="G47" i="4"/>
  <c r="K180" i="4" l="1"/>
  <c r="K108" i="4" s="1"/>
  <c r="I21" i="4"/>
  <c r="I25" i="4"/>
  <c r="D21" i="2"/>
  <c r="F37" i="4"/>
  <c r="F179" i="4"/>
  <c r="F85" i="4"/>
  <c r="F95" i="4" s="1"/>
  <c r="F113" i="4" s="1"/>
  <c r="K142" i="4"/>
  <c r="K23" i="4"/>
  <c r="K30" i="4"/>
  <c r="K174" i="4"/>
  <c r="K87" i="4" s="1"/>
  <c r="K24" i="4"/>
  <c r="K141" i="4"/>
  <c r="K121" i="4"/>
  <c r="K125" i="4" s="1"/>
  <c r="K20" i="4"/>
  <c r="K122" i="4" s="1"/>
  <c r="E17" i="2"/>
  <c r="E18" i="2" s="1"/>
  <c r="I140" i="4"/>
  <c r="I143" i="4" s="1"/>
  <c r="H51" i="4"/>
  <c r="I98" i="4"/>
  <c r="I101" i="4" s="1"/>
  <c r="I11" i="5"/>
  <c r="I155" i="4"/>
  <c r="I152" i="4"/>
  <c r="J142" i="4"/>
  <c r="J23" i="4"/>
  <c r="J24" i="4"/>
  <c r="J174" i="4"/>
  <c r="J87" i="4" s="1"/>
  <c r="J141" i="4"/>
  <c r="J30" i="4"/>
  <c r="J20" i="4"/>
  <c r="J122" i="4" s="1"/>
  <c r="J121" i="4"/>
  <c r="J125" i="4" s="1"/>
  <c r="H136" i="4"/>
  <c r="H94" i="4" s="1"/>
  <c r="H58" i="4"/>
  <c r="H62" i="4" s="1"/>
  <c r="I131" i="4"/>
  <c r="I128" i="4"/>
  <c r="E114" i="4"/>
  <c r="D44" i="4"/>
  <c r="D49" i="4" s="1"/>
  <c r="D55" i="4" s="1"/>
  <c r="D78" i="4" s="1"/>
  <c r="I134" i="4"/>
  <c r="I46" i="4"/>
  <c r="H27" i="4"/>
  <c r="H91" i="4"/>
  <c r="I10" i="5"/>
  <c r="I86" i="4"/>
  <c r="H135" i="4"/>
  <c r="H92" i="4" s="1"/>
  <c r="H47" i="4"/>
  <c r="G137" i="4"/>
  <c r="G12" i="5" s="1"/>
  <c r="G13" i="5" s="1"/>
  <c r="H71" i="4"/>
  <c r="I173" i="4"/>
  <c r="I175" i="4" s="1"/>
  <c r="I27" i="4" l="1"/>
  <c r="I7" i="5" s="1"/>
  <c r="I9" i="5" s="1"/>
  <c r="F22" i="6"/>
  <c r="F28" i="6" s="1"/>
  <c r="F32" i="6" s="1"/>
  <c r="D12" i="2" s="1"/>
  <c r="E12" i="2" s="1"/>
  <c r="D22" i="2"/>
  <c r="K25" i="4"/>
  <c r="G17" i="5"/>
  <c r="I136" i="4"/>
  <c r="I94" i="4" s="1"/>
  <c r="I58" i="4"/>
  <c r="I62" i="4" s="1"/>
  <c r="I51" i="4"/>
  <c r="J140" i="4"/>
  <c r="J143" i="4" s="1"/>
  <c r="I71" i="4"/>
  <c r="J173" i="4"/>
  <c r="J175" i="4" s="1"/>
  <c r="H137" i="4"/>
  <c r="H12" i="5" s="1"/>
  <c r="K98" i="4"/>
  <c r="K101" i="4" s="1"/>
  <c r="K11" i="5"/>
  <c r="J11" i="5"/>
  <c r="J98" i="4"/>
  <c r="J101" i="4" s="1"/>
  <c r="I91" i="4"/>
  <c r="J134" i="4"/>
  <c r="J46" i="4"/>
  <c r="J10" i="5"/>
  <c r="J86" i="4"/>
  <c r="K128" i="4"/>
  <c r="K131" i="4"/>
  <c r="K10" i="5"/>
  <c r="K86" i="4"/>
  <c r="H7" i="5"/>
  <c r="H9" i="5" s="1"/>
  <c r="J25" i="4"/>
  <c r="E168" i="4"/>
  <c r="E115" i="4"/>
  <c r="J21" i="4"/>
  <c r="J150" i="4"/>
  <c r="I64" i="4"/>
  <c r="K21" i="4"/>
  <c r="I47" i="4"/>
  <c r="I135" i="4"/>
  <c r="I92" i="4" s="1"/>
  <c r="J128" i="4"/>
  <c r="J131" i="4"/>
  <c r="K46" i="4"/>
  <c r="K134" i="4"/>
  <c r="H13" i="5" l="1"/>
  <c r="H17" i="5" s="1"/>
  <c r="J58" i="4"/>
  <c r="J62" i="4" s="1"/>
  <c r="J136" i="4"/>
  <c r="J94" i="4" s="1"/>
  <c r="K135" i="4"/>
  <c r="K92" i="4" s="1"/>
  <c r="K47" i="4"/>
  <c r="J51" i="4"/>
  <c r="K140" i="4"/>
  <c r="K143" i="4" s="1"/>
  <c r="K51" i="4" s="1"/>
  <c r="F114" i="4"/>
  <c r="E44" i="4"/>
  <c r="E49" i="4" s="1"/>
  <c r="E55" i="4" s="1"/>
  <c r="E78" i="4" s="1"/>
  <c r="J47" i="4"/>
  <c r="J135" i="4"/>
  <c r="J92" i="4" s="1"/>
  <c r="J91" i="4"/>
  <c r="E19" i="2"/>
  <c r="K27" i="4"/>
  <c r="K91" i="4"/>
  <c r="J155" i="4"/>
  <c r="J152" i="4"/>
  <c r="K173" i="4"/>
  <c r="K175" i="4" s="1"/>
  <c r="K71" i="4" s="1"/>
  <c r="J71" i="4"/>
  <c r="J27" i="4"/>
  <c r="K136" i="4"/>
  <c r="K94" i="4" s="1"/>
  <c r="K58" i="4"/>
  <c r="K62" i="4" s="1"/>
  <c r="I137" i="4"/>
  <c r="I12" i="5" s="1"/>
  <c r="I13" i="5" s="1"/>
  <c r="K137" i="4" l="1"/>
  <c r="K12" i="5" s="1"/>
  <c r="E20" i="2"/>
  <c r="K7" i="5"/>
  <c r="J7" i="5"/>
  <c r="J9" i="5" s="1"/>
  <c r="K150" i="4"/>
  <c r="J64" i="4"/>
  <c r="I17" i="5"/>
  <c r="J137" i="4"/>
  <c r="J12" i="5" s="1"/>
  <c r="F168" i="4"/>
  <c r="F115" i="4"/>
  <c r="J13" i="5" l="1"/>
  <c r="K152" i="4"/>
  <c r="K64" i="4" s="1"/>
  <c r="K155" i="4"/>
  <c r="G114" i="4"/>
  <c r="F44" i="4"/>
  <c r="K9" i="5"/>
  <c r="K13" i="5" s="1"/>
  <c r="F24" i="5"/>
  <c r="F25" i="5" s="1"/>
  <c r="F26" i="5" s="1"/>
  <c r="E24" i="2" l="1"/>
  <c r="F21" i="5"/>
  <c r="K17" i="5"/>
  <c r="F25" i="6"/>
  <c r="F32" i="5"/>
  <c r="D46" i="5" s="1"/>
  <c r="F49" i="4"/>
  <c r="F55" i="4" s="1"/>
  <c r="F78" i="4" s="1"/>
  <c r="G168" i="4"/>
  <c r="G170" i="4" s="1"/>
  <c r="G29" i="4" s="1"/>
  <c r="G31" i="4" s="1"/>
  <c r="J17" i="5"/>
  <c r="F22" i="5" l="1"/>
  <c r="F23" i="5" s="1"/>
  <c r="F30" i="5" s="1"/>
  <c r="F33" i="5" s="1"/>
  <c r="F35" i="5" s="1"/>
  <c r="F31" i="5"/>
  <c r="F34" i="5" s="1"/>
  <c r="F36" i="5" s="1"/>
  <c r="F38" i="5" s="1"/>
  <c r="E9" i="2" s="1"/>
  <c r="D50" i="5"/>
  <c r="F47" i="5"/>
  <c r="G49" i="5"/>
  <c r="F50" i="5"/>
  <c r="G50" i="5"/>
  <c r="E49" i="5"/>
  <c r="D48" i="5"/>
  <c r="E47" i="5"/>
  <c r="H46" i="5"/>
  <c r="E46" i="5"/>
  <c r="F46" i="5"/>
  <c r="H48" i="5"/>
  <c r="D49" i="5"/>
  <c r="D47" i="5"/>
  <c r="H47" i="5"/>
  <c r="G47" i="5"/>
  <c r="D9" i="2"/>
  <c r="E48" i="5"/>
  <c r="G48" i="5"/>
  <c r="F48" i="5"/>
  <c r="G33" i="4"/>
  <c r="G34" i="4" s="1"/>
  <c r="F26" i="6"/>
  <c r="F30" i="6" s="1"/>
  <c r="D10" i="2" s="1"/>
  <c r="E10" i="2" s="1"/>
  <c r="F27" i="6"/>
  <c r="F31" i="6" s="1"/>
  <c r="D11" i="2" s="1"/>
  <c r="E11" i="2" s="1"/>
  <c r="H50" i="5"/>
  <c r="F49" i="5"/>
  <c r="H49" i="5"/>
  <c r="E50" i="5"/>
  <c r="G46" i="5"/>
  <c r="G37" i="4" l="1"/>
  <c r="G181" i="4"/>
  <c r="G107" i="4" s="1"/>
  <c r="G85" i="4"/>
  <c r="G95" i="4" s="1"/>
  <c r="G179" i="4"/>
  <c r="F37" i="5"/>
  <c r="E8" i="2" s="1"/>
  <c r="D8" i="2"/>
  <c r="G182" i="4" l="1"/>
  <c r="H178" i="4" s="1"/>
  <c r="G105" i="4"/>
  <c r="G72" i="4" l="1"/>
  <c r="G74" i="4" s="1"/>
  <c r="G160" i="4"/>
  <c r="G161" i="4" s="1"/>
  <c r="G110" i="4"/>
  <c r="G113" i="4" s="1"/>
  <c r="G115" i="4" s="1"/>
  <c r="H114" i="4" l="1"/>
  <c r="G44" i="4"/>
  <c r="G49" i="4" s="1"/>
  <c r="G55" i="4" s="1"/>
  <c r="G65" i="4"/>
  <c r="G68" i="4" s="1"/>
  <c r="G76" i="4" s="1"/>
  <c r="H159" i="4"/>
  <c r="H164" i="4" l="1"/>
  <c r="G78" i="4"/>
  <c r="H168" i="4"/>
  <c r="H170" i="4" s="1"/>
  <c r="H29" i="4" l="1"/>
  <c r="H31" i="4" s="1"/>
  <c r="H33" i="4" l="1"/>
  <c r="H34" i="4" s="1"/>
  <c r="H181" i="4" l="1"/>
  <c r="H107" i="4" s="1"/>
  <c r="H85" i="4"/>
  <c r="H95" i="4" s="1"/>
  <c r="H37" i="4"/>
  <c r="H179" i="4"/>
  <c r="H182" i="4" s="1"/>
  <c r="I178" i="4" l="1"/>
  <c r="H72" i="4"/>
  <c r="H74" i="4" s="1"/>
  <c r="H105" i="4"/>
  <c r="H110" i="4" l="1"/>
  <c r="H113" i="4" s="1"/>
  <c r="H115" i="4" s="1"/>
  <c r="H160" i="4"/>
  <c r="H161" i="4" s="1"/>
  <c r="I159" i="4" l="1"/>
  <c r="H65" i="4"/>
  <c r="H68" i="4" s="1"/>
  <c r="H76" i="4" s="1"/>
  <c r="I114" i="4"/>
  <c r="H44" i="4"/>
  <c r="H49" i="4" s="1"/>
  <c r="H55" i="4" s="1"/>
  <c r="H78" i="4" l="1"/>
  <c r="I168" i="4"/>
  <c r="I170" i="4" s="1"/>
  <c r="I164" i="4"/>
  <c r="I29" i="4" l="1"/>
  <c r="I31" i="4" s="1"/>
  <c r="I33" i="4" s="1"/>
  <c r="I34" i="4" s="1"/>
  <c r="I179" i="4" l="1"/>
  <c r="I181" i="4"/>
  <c r="I107" i="4" s="1"/>
  <c r="I37" i="4"/>
  <c r="I85" i="4"/>
  <c r="I95" i="4" s="1"/>
  <c r="I105" i="4" l="1"/>
  <c r="I182" i="4"/>
  <c r="J178" i="4" l="1"/>
  <c r="I72" i="4"/>
  <c r="I74" i="4" s="1"/>
  <c r="I160" i="4"/>
  <c r="I161" i="4" s="1"/>
  <c r="I110" i="4"/>
  <c r="I113" i="4" s="1"/>
  <c r="I115" i="4" s="1"/>
  <c r="I44" i="4" l="1"/>
  <c r="I49" i="4" s="1"/>
  <c r="I55" i="4" s="1"/>
  <c r="J114" i="4"/>
  <c r="J159" i="4"/>
  <c r="I65" i="4"/>
  <c r="I68" i="4" s="1"/>
  <c r="I76" i="4" s="1"/>
  <c r="J164" i="4" l="1"/>
  <c r="J168" i="4"/>
  <c r="J170" i="4" s="1"/>
  <c r="I78" i="4"/>
  <c r="J29" i="4" l="1"/>
  <c r="J31" i="4" s="1"/>
  <c r="J33" i="4" l="1"/>
  <c r="J34" i="4" s="1"/>
  <c r="J179" i="4" l="1"/>
  <c r="J37" i="4"/>
  <c r="J181" i="4"/>
  <c r="J107" i="4" s="1"/>
  <c r="J85" i="4"/>
  <c r="J95" i="4" s="1"/>
  <c r="J105" i="4" l="1"/>
  <c r="J182" i="4"/>
  <c r="J160" i="4" l="1"/>
  <c r="J161" i="4" s="1"/>
  <c r="J110" i="4"/>
  <c r="J113" i="4" s="1"/>
  <c r="J115" i="4" s="1"/>
  <c r="J72" i="4"/>
  <c r="J74" i="4" s="1"/>
  <c r="K178" i="4"/>
  <c r="J44" i="4" l="1"/>
  <c r="J49" i="4" s="1"/>
  <c r="J55" i="4" s="1"/>
  <c r="K114" i="4"/>
  <c r="K159" i="4"/>
  <c r="J65" i="4"/>
  <c r="J68" i="4" s="1"/>
  <c r="J76" i="4" s="1"/>
  <c r="K164" i="4" l="1"/>
  <c r="K168" i="4"/>
  <c r="K170" i="4" s="1"/>
  <c r="J78" i="4"/>
  <c r="K29" i="4" l="1"/>
  <c r="K31" i="4" s="1"/>
  <c r="K33" i="4" l="1"/>
  <c r="K34" i="4" s="1"/>
  <c r="K37" i="4" l="1"/>
  <c r="K179" i="4"/>
  <c r="E21" i="2"/>
  <c r="K85" i="4"/>
  <c r="K95" i="4" s="1"/>
  <c r="K181" i="4"/>
  <c r="K107" i="4" s="1"/>
  <c r="K105" i="4" l="1"/>
  <c r="K182" i="4"/>
  <c r="K72" i="4" s="1"/>
  <c r="K74" i="4" s="1"/>
  <c r="E22" i="2"/>
  <c r="N18" i="1"/>
  <c r="K160" i="4" l="1"/>
  <c r="K161" i="4" s="1"/>
  <c r="K65" i="4" s="1"/>
  <c r="K68" i="4" s="1"/>
  <c r="K76" i="4" s="1"/>
  <c r="K110" i="4"/>
  <c r="K113" i="4" s="1"/>
  <c r="K115" i="4" s="1"/>
  <c r="K44" i="4" s="1"/>
  <c r="K49" i="4" s="1"/>
  <c r="K55" i="4" s="1"/>
  <c r="K78" i="4" l="1"/>
  <c r="N1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<sst xmlns="http://schemas.openxmlformats.org/spreadsheetml/2006/main" count="406" uniqueCount="318">
  <si>
    <t>NIKE, Inc. (NYSE: NKE)</t>
  </si>
  <si>
    <t>Prepared by Chetan Puvvadi</t>
  </si>
  <si>
    <t>3-Statement Model, DCF Valuation &amp; Comparable Company Analysis</t>
  </si>
  <si>
    <t>Portfolio Project -- Built Using CFI FMVA Formatting Conventions</t>
  </si>
  <si>
    <t>Table of Contents</t>
  </si>
  <si>
    <t>Model Checks</t>
  </si>
  <si>
    <t>Outputs</t>
  </si>
  <si>
    <t>Balance Sheet Unbalanced?</t>
  </si>
  <si>
    <t>Valuation summary dashboard: implied share price by method, key metrics, WACC assumptions.</t>
  </si>
  <si>
    <t>WACC Below Terminal Growth Rate?</t>
  </si>
  <si>
    <t>Inputs</t>
  </si>
  <si>
    <t>Diluted EPS Negative in Any Forecast Year?</t>
  </si>
  <si>
    <t>All model assumptions and drivers -- revenue growth, margins, working capital, capex, capital structure, WACC.</t>
  </si>
  <si>
    <t>Model</t>
  </si>
  <si>
    <t>3-statement model (Income Statement, Balance Sheet, Cash Flow) plus Working Capital/PP&amp;E and Capital Structure schedules.</t>
  </si>
  <si>
    <t>DCF</t>
  </si>
  <si>
    <t>Discounted cash flow valuation -- unlevered FCF, terminal value, enterprise/equity value, sensitivity.</t>
  </si>
  <si>
    <t>Comps</t>
  </si>
  <si>
    <t>Comparable company (trading comps) analysis and NIKE implied valuation.</t>
  </si>
  <si>
    <t>NIKE, Inc. Financial Model -- Portfolio Project</t>
  </si>
  <si>
    <t>Independent work product built by Chetan Puvvadi to learn and demonstrate 3-statement modeling, DCF</t>
  </si>
  <si>
    <t>valuation, and comparable company analysis technique and formatting conventions in the style taught by the</t>
  </si>
  <si>
    <t>Corporate Finance Institute (CFI) FMVA program. This model is not affiliated with, endorsed by, or reviewed</t>
  </si>
  <si>
    <t>by CFI, NIKE, Inc., or any of the peer companies referenced in the Comparable Company Analysis.</t>
  </si>
  <si>
    <t>Historical figures are sourced from NIKE, Inc. SEC filings (Forms 10-K); peer market data is as of late</t>
  </si>
  <si>
    <t>August 2026 (company filings, stockanalysis.com, Yahoo Finance). For educational/portfolio purposes only --</t>
  </si>
  <si>
    <t>not investment advice and should not be relied upon for any investment decision.</t>
  </si>
  <si>
    <t xml:space="preserve"> </t>
  </si>
  <si>
    <t>Valuation Summary Dashboard</t>
  </si>
  <si>
    <t>Current Share Price</t>
  </si>
  <si>
    <t>Valuation Method</t>
  </si>
  <si>
    <t>Implied Share Price</t>
  </si>
  <si>
    <t>Upside / (Downside)</t>
  </si>
  <si>
    <t>DCF -- Perpetuity Growth Method</t>
  </si>
  <si>
    <t>DCF -- Exit Multiple Method</t>
  </si>
  <si>
    <t>Comps -- EV/Revenue Method</t>
  </si>
  <si>
    <t>Comps -- EV/EBITDA Method</t>
  </si>
  <si>
    <t>Comps -- P/E Method</t>
  </si>
  <si>
    <t>KEY METRICS -- FY2026A ACTUAL vs. FY2031E FORECAST</t>
  </si>
  <si>
    <t>FY2026A</t>
  </si>
  <si>
    <t>FY2031E</t>
  </si>
  <si>
    <t>Total Revenue ($mm)</t>
  </si>
  <si>
    <t>Revenue CAGR, FY26A-FY31E</t>
  </si>
  <si>
    <t>Gross Margin, %</t>
  </si>
  <si>
    <t>Operating Margin (EBIT), %</t>
  </si>
  <si>
    <t>Net Income ($mm)</t>
  </si>
  <si>
    <t>Diluted EPS ($)</t>
  </si>
  <si>
    <t>Diluted Shares Outstanding (mm)</t>
  </si>
  <si>
    <t>Unlevered Free Cash Flow ($mm)</t>
  </si>
  <si>
    <t>WACC &amp; VALUATION ASSUMPTIONS</t>
  </si>
  <si>
    <t>WACC</t>
  </si>
  <si>
    <t>Terminal Growth Rate</t>
  </si>
  <si>
    <t>Exit EV/EBITDA Multiple</t>
  </si>
  <si>
    <t>All figures in USD unless stated. See DCF and Comps sheets for full build.</t>
  </si>
  <si>
    <t>Assumptions &amp; Drivers</t>
  </si>
  <si>
    <t>All figures in USD millions unless stated</t>
  </si>
  <si>
    <t>FY2024A</t>
  </si>
  <si>
    <t>FY2025A</t>
  </si>
  <si>
    <t>FY2027E</t>
  </si>
  <si>
    <t>FY2028E</t>
  </si>
  <si>
    <t>FY2029E</t>
  </si>
  <si>
    <t>FY2030E</t>
  </si>
  <si>
    <t>Days in Period</t>
  </si>
  <si>
    <t>North America Revenue Growth, %</t>
  </si>
  <si>
    <t>Best Case</t>
  </si>
  <si>
    <t>Base Case</t>
  </si>
  <si>
    <t>Worst Case</t>
  </si>
  <si>
    <t>EMEA Revenue Growth, %</t>
  </si>
  <si>
    <t>Greater China Revenue Growth, %</t>
  </si>
  <si>
    <t>APLA Revenue Growth, %</t>
  </si>
  <si>
    <t>Global Brand Divisions Revenue Growth, %</t>
  </si>
  <si>
    <t>Converse Revenue Growth, %</t>
  </si>
  <si>
    <t>Alternative: Top-Down / Bottom-Up / Regression</t>
  </si>
  <si>
    <t>MARGIN &amp; OPERATING EXPENSE DRIVERS</t>
  </si>
  <si>
    <t>Gross Margin, %  (Scenario-Driven via Driver Switch)</t>
  </si>
  <si>
    <t>Demand Creation Expense (% of Revenue)</t>
  </si>
  <si>
    <t>Operating Overhead Expense (% of Revenue)</t>
  </si>
  <si>
    <t>Other Income (Expense) (% of Revenue)</t>
  </si>
  <si>
    <t>Alternative: COGS Margin, Cost per Unit</t>
  </si>
  <si>
    <t>WORKING CAPITAL DRIVERS</t>
  </si>
  <si>
    <t>Receivable Days (Sales Basis)</t>
  </si>
  <si>
    <t>(Days)</t>
  </si>
  <si>
    <t>Inventory Days (COGS Basis)</t>
  </si>
  <si>
    <t>Payable Days (COGS Basis)</t>
  </si>
  <si>
    <t>Alternative: Use Average Balance</t>
  </si>
  <si>
    <t>CAPEX, DEPRECIATION &amp; TAX DRIVERS</t>
  </si>
  <si>
    <t>Capital Expenditures (% of Revenue)  (Scenario-Driven via Driver Switch)</t>
  </si>
  <si>
    <t>Depreciation &amp; Amortization (% of Revenue)</t>
  </si>
  <si>
    <t>Tax Rate (% of EBT)</t>
  </si>
  <si>
    <t>CAPITAL STRUCTURE &amp; CAPITAL RETURNS DRIVERS</t>
  </si>
  <si>
    <t>Scheduled Long-Term Debt Repayment</t>
  </si>
  <si>
    <t>Long-Term Debt Interest Rate (Beginning Debt)</t>
  </si>
  <si>
    <t>Revolving Credit Line Interest Rate (Beginning Balance)</t>
  </si>
  <si>
    <t>Minimum Cash Balance (Revolver Draw / Sweep Target)</t>
  </si>
  <si>
    <t>Interest Rate on Cash &amp; Investments (Beginning Cash)</t>
  </si>
  <si>
    <t>Dividend per Share Growth, %</t>
  </si>
  <si>
    <t>Stock-Based Compensation (% of Revenue)</t>
  </si>
  <si>
    <t>Share Repurchases (% of Net Income)</t>
  </si>
  <si>
    <t>Share Count Reduction from Buybacks, %</t>
  </si>
  <si>
    <t>Alternative: Debt / Equity Ratio</t>
  </si>
  <si>
    <t>WACC &amp; DCF VALUATION DRIVERS  (point-in-time inputs -- single value in column F)</t>
  </si>
  <si>
    <t>Risk-Free Rate (U.S. 10-Year Treasury)</t>
  </si>
  <si>
    <t>Equity Risk Premium (Damodaran, Jan-2026)</t>
  </si>
  <si>
    <t>Beta (5-Year Monthly, raw)</t>
  </si>
  <si>
    <t>Cost of Equity (CAPM)</t>
  </si>
  <si>
    <t>Pre-Tax Cost of Debt</t>
  </si>
  <si>
    <t>Tax Rate for WACC</t>
  </si>
  <si>
    <t>After-Tax Cost of Debt</t>
  </si>
  <si>
    <t>Total Debt (Financial Debt, Current)</t>
  </si>
  <si>
    <t>Market Capitalization (Current)</t>
  </si>
  <si>
    <t>Total Capital (Debt + Equity)</t>
  </si>
  <si>
    <t>Debt / Total Capital</t>
  </si>
  <si>
    <t>Equity / Total Capital</t>
  </si>
  <si>
    <t>Terminal Growth Rate (Perpetuity)</t>
  </si>
  <si>
    <t>Exit EV / EBITDA Multiple (cross-check, from Comps)</t>
  </si>
  <si>
    <t>Current Share Price ($/sh, Aug-2026)</t>
  </si>
  <si>
    <t>Diluted Shares Outstanding, Current (mm)</t>
  </si>
  <si>
    <t>Income Statement</t>
  </si>
  <si>
    <t>NIKE BRAND REVENUE BY GEOGRAPHY</t>
  </si>
  <si>
    <t>North America</t>
  </si>
  <si>
    <t>EMEA</t>
  </si>
  <si>
    <t>Greater China</t>
  </si>
  <si>
    <t>APLA</t>
  </si>
  <si>
    <t>Global Brand Divisions</t>
  </si>
  <si>
    <t>NIKE Brand Revenue, Total</t>
  </si>
  <si>
    <t>Converse</t>
  </si>
  <si>
    <t>Corporate &amp; Eliminations</t>
  </si>
  <si>
    <t>Total Revenue</t>
  </si>
  <si>
    <t>Cost of Sales</t>
  </si>
  <si>
    <t>Gross Profit</t>
  </si>
  <si>
    <t>Demand Creation Expense</t>
  </si>
  <si>
    <t>Operating Overhead Expense</t>
  </si>
  <si>
    <t>Total SG&amp;A</t>
  </si>
  <si>
    <t>Operating Income (EBIT)</t>
  </si>
  <si>
    <t>Interest Income (Expense), net</t>
  </si>
  <si>
    <t>Other Income (Expense), net</t>
  </si>
  <si>
    <t>Income Before Taxes (EBT)</t>
  </si>
  <si>
    <t>Income Tax Expense</t>
  </si>
  <si>
    <t>Net Income</t>
  </si>
  <si>
    <t>Diluted Shares Outstanding</t>
  </si>
  <si>
    <t>(mm)</t>
  </si>
  <si>
    <t>Diluted EPS</t>
  </si>
  <si>
    <t>Balance Sheet</t>
  </si>
  <si>
    <t>ASSETS</t>
  </si>
  <si>
    <t>Cash &amp; Cash Equivalents</t>
  </si>
  <si>
    <t>Short-Term Investments</t>
  </si>
  <si>
    <t>Accounts Receivable, net</t>
  </si>
  <si>
    <t>Inventories</t>
  </si>
  <si>
    <t>Prepaid Expenses &amp; Other Current Assets</t>
  </si>
  <si>
    <t>Total Current Assets</t>
  </si>
  <si>
    <t>Property, Plant &amp; Equipment, net</t>
  </si>
  <si>
    <t>Operating Lease Right-of-Use Assets, net</t>
  </si>
  <si>
    <t>Goodwill &amp; Intangible Assets</t>
  </si>
  <si>
    <t>Deferred Tax &amp; Other Non-Current Assets</t>
  </si>
  <si>
    <t>TOTAL ASSETS</t>
  </si>
  <si>
    <t>LIABILITIES</t>
  </si>
  <si>
    <t>Accounts Payable</t>
  </si>
  <si>
    <t>Accrued Liabilities</t>
  </si>
  <si>
    <t>Income Taxes Payable</t>
  </si>
  <si>
    <t>Current Operating Lease Liabilities</t>
  </si>
  <si>
    <t>Total Current Liabilities</t>
  </si>
  <si>
    <t>Long-Term Debt</t>
  </si>
  <si>
    <t>Revolving Credit Line</t>
  </si>
  <si>
    <t>Non-Current Operating Lease Liabilities</t>
  </si>
  <si>
    <t>Deferred Tax &amp; Other Non-Current Liabilities</t>
  </si>
  <si>
    <t>Total Liabilities</t>
  </si>
  <si>
    <t>EQUITY</t>
  </si>
  <si>
    <t>Common Stock &amp; APIC</t>
  </si>
  <si>
    <t>Retained Earnings (Deficit)</t>
  </si>
  <si>
    <t>Accumulated Other Comprehensive Income (Loss)</t>
  </si>
  <si>
    <t>Total Shareholders' Equity</t>
  </si>
  <si>
    <t>Total Liabilities &amp; Equity</t>
  </si>
  <si>
    <t>Balance Sheet Check</t>
  </si>
  <si>
    <t>Cash Flow Statement</t>
  </si>
  <si>
    <t>CASH FROM OPERATING ACTIVITIES</t>
  </si>
  <si>
    <t>Depreciation &amp; Amortization</t>
  </si>
  <si>
    <t>Stock-Based Compensation</t>
  </si>
  <si>
    <t>Deferred Income Taxes</t>
  </si>
  <si>
    <t>Amortization / Impairment &amp; Other</t>
  </si>
  <si>
    <t>Net Foreign Currency Adjustments</t>
  </si>
  <si>
    <t>Change in Accounts Receivable</t>
  </si>
  <si>
    <t>Change in Inventories</t>
  </si>
  <si>
    <t>Change in Prepaid/Other Current Assets</t>
  </si>
  <si>
    <t>Change in Accounts Payable &amp; Accrued Liabilities</t>
  </si>
  <si>
    <t>Cash Flows from Operating Activities</t>
  </si>
  <si>
    <t>CASH FROM INVESTING ACTIVITIES</t>
  </si>
  <si>
    <t>Capital Expenditures</t>
  </si>
  <si>
    <t>Net Purchases (Sales) of Short-Term Investments</t>
  </si>
  <si>
    <t>Other Investing Activities</t>
  </si>
  <si>
    <t>Cash Flows from Investing Activities</t>
  </si>
  <si>
    <t>CASH FROM FINANCING ACTIVITIES</t>
  </si>
  <si>
    <t>Long-Term Debt Repayment</t>
  </si>
  <si>
    <t>Revolving Credit Line, Draw / (Repayment)</t>
  </si>
  <si>
    <t>Proceeds from Stock Option Exercises</t>
  </si>
  <si>
    <t>Share Repurchases</t>
  </si>
  <si>
    <t>Dividends Paid</t>
  </si>
  <si>
    <t>Other Financing Activities</t>
  </si>
  <si>
    <t>Cash Flows from Financing Activities</t>
  </si>
  <si>
    <t>Effect of Exchange Rates on Cash</t>
  </si>
  <si>
    <t>Net Change in Cash</t>
  </si>
  <si>
    <t>Cash &amp; Cash Equivalents, Beginning of the Year</t>
  </si>
  <si>
    <t>Cash &amp; Cash Equivalents, End of the Year</t>
  </si>
  <si>
    <t>Working Capital and PP&amp;E Schedule</t>
  </si>
  <si>
    <t>Revenue</t>
  </si>
  <si>
    <t>Trade and Other Receivables</t>
  </si>
  <si>
    <t>Inventory</t>
  </si>
  <si>
    <t>Trade and Other Payables</t>
  </si>
  <si>
    <t>CASH CHANGES FROM WORKING CAPITAL</t>
  </si>
  <si>
    <t>Cash from Working Capital Items</t>
  </si>
  <si>
    <t>PROPERTY, PLANT &amp; EQUIPMENT (PP&amp;E)</t>
  </si>
  <si>
    <t>Beginning of Period</t>
  </si>
  <si>
    <t>Capital Expenditures/Additions</t>
  </si>
  <si>
    <t>Depreciation &amp; Amortization Expense</t>
  </si>
  <si>
    <t>Net PP&amp;E, End of Period</t>
  </si>
  <si>
    <t>Capital Structure Schedules</t>
  </si>
  <si>
    <t>LONG-TERM DEBT (LTD)</t>
  </si>
  <si>
    <t>Additions (Repayments)</t>
  </si>
  <si>
    <t>LTD, End of Period</t>
  </si>
  <si>
    <t>Long-Term Debt Interest Expense</t>
  </si>
  <si>
    <t>Note: this schedule ties to reported period-end balances (incl. FX translation on non-USD debt); the Cash Flow Statement's Debt Repayment line instead reflects actual cash repayments per the 10-K, so the two differ slightly in historical years.</t>
  </si>
  <si>
    <t>REVOLVING CREDIT LINE</t>
  </si>
  <si>
    <t>Draw / (Repayment)</t>
  </si>
  <si>
    <t>Revolving Credit Line, End of Period</t>
  </si>
  <si>
    <t>Revolving Credit Line Interest Expense</t>
  </si>
  <si>
    <t>Note: the revolver is modeled as an automatic cash sweep -- drawn when projected cash would otherwise fall below the Minimum Cash Balance target, and repaid with any cash generated above that target. Interest is charged on the beginning-of-period balance, so the draw/repayment does not create a circular reference.</t>
  </si>
  <si>
    <t>CASH &amp; SHORT-TERM INVESTMENTS</t>
  </si>
  <si>
    <t>Interest Income</t>
  </si>
  <si>
    <t>COMMON STOCK AND ADDITIONAL PAID-IN CAPITAL</t>
  </si>
  <si>
    <t>Additions (Stock-Based Compensation)</t>
  </si>
  <si>
    <t>Common Stock &amp; APIC, End of Period</t>
  </si>
  <si>
    <t>RETAINED EARNINGS (RE)</t>
  </si>
  <si>
    <t>Dividends</t>
  </si>
  <si>
    <t>RE, End of Period</t>
  </si>
  <si>
    <t>DIVIDENDS &amp; SHARE COUNT</t>
  </si>
  <si>
    <t>Dividends per Share ($)</t>
  </si>
  <si>
    <t>Diluted Shares Outstanding, Beginning</t>
  </si>
  <si>
    <t>Diluted Shares Outstanding, End</t>
  </si>
  <si>
    <t>Discounted Cash Flow Valuation</t>
  </si>
  <si>
    <t>EBIT</t>
  </si>
  <si>
    <t>Effective Tax Rate</t>
  </si>
  <si>
    <t>NOPAT (EBIT, After-Tax)</t>
  </si>
  <si>
    <t>Add: Depreciation &amp; Amortization</t>
  </si>
  <si>
    <t>Less: Capital Expenditures</t>
  </si>
  <si>
    <t>Add (Less): Net Change in Working Capital</t>
  </si>
  <si>
    <t>Unlevered Free Cash Flow</t>
  </si>
  <si>
    <t>Discount Period (Mid-Year Convention)</t>
  </si>
  <si>
    <t>Discount Factor</t>
  </si>
  <si>
    <t>PV of Unlevered Free Cash Flow</t>
  </si>
  <si>
    <t>TERMINAL VALUE</t>
  </si>
  <si>
    <t>Terminal Year Unlevered FCF (FY31E)</t>
  </si>
  <si>
    <t>Terminal Value -- Perpetuity Growth Method</t>
  </si>
  <si>
    <t>PV of Terminal Value (Perpetuity Growth)</t>
  </si>
  <si>
    <t>Terminal Year EBITDA (FY31E)</t>
  </si>
  <si>
    <t>Terminal Value -- Exit Multiple Cross-Check</t>
  </si>
  <si>
    <t>PV of Terminal Value (Exit Multiple)</t>
  </si>
  <si>
    <t>ENTERPRISE &amp; EQUITY VALUE</t>
  </si>
  <si>
    <t>Enterprise Value -- Perpetuity Growth Method</t>
  </si>
  <si>
    <t>Enterprise Value -- Exit Multiple Method</t>
  </si>
  <si>
    <t>Net Debt / (Net Cash)</t>
  </si>
  <si>
    <t>Equity Value -- Perpetuity Growth Method</t>
  </si>
  <si>
    <t>Equity Value -- Exit Multiple Method</t>
  </si>
  <si>
    <t>Implied Share Price -- Perpetuity Growth Method</t>
  </si>
  <si>
    <t>Implied Share Price -- Exit Multiple Method</t>
  </si>
  <si>
    <t>Implied Upside / (Downside) -- Perpetuity Growth</t>
  </si>
  <si>
    <t>Implied Upside / (Downside) -- Exit Multiple</t>
  </si>
  <si>
    <t>SENSITIVITY -- IMPLIED SHARE PRICE (PERPETUITY GROWTH METHOD)</t>
  </si>
  <si>
    <t>WACC (rows) vs. Terminal Growth Rate (columns)</t>
  </si>
  <si>
    <t>WACC (down)</t>
  </si>
  <si>
    <t>Terminal Growth Rate -&gt;</t>
  </si>
  <si>
    <t>All figures in USD millions except per-share data. Explicit forecast period = FY2027E-FY2031E (5 years); mid-year discounting convention.</t>
  </si>
  <si>
    <t>Comparable Company Analysis</t>
  </si>
  <si>
    <t>Peer Company</t>
  </si>
  <si>
    <t>Ticker</t>
  </si>
  <si>
    <t>Price</t>
  </si>
  <si>
    <t>Dil. Shares</t>
  </si>
  <si>
    <t>Mkt Cap</t>
  </si>
  <si>
    <t>Total Debt</t>
  </si>
  <si>
    <t>Cash &amp; Equiv.</t>
  </si>
  <si>
    <t>Net Debt</t>
  </si>
  <si>
    <t>Enterprise Value</t>
  </si>
  <si>
    <t>LTM Revenue</t>
  </si>
  <si>
    <t>LTM EBITDA</t>
  </si>
  <si>
    <t>LTM EPS</t>
  </si>
  <si>
    <t>EV / Rev</t>
  </si>
  <si>
    <t>EV / EBITDA</t>
  </si>
  <si>
    <t>P / E</t>
  </si>
  <si>
    <t>Adidas AG</t>
  </si>
  <si>
    <t>ADS.DE</t>
  </si>
  <si>
    <t>Lululemon Athletica</t>
  </si>
  <si>
    <t>LULU</t>
  </si>
  <si>
    <t>Under Armour</t>
  </si>
  <si>
    <t>UAA</t>
  </si>
  <si>
    <t>Deckers Brands</t>
  </si>
  <si>
    <t>DECK</t>
  </si>
  <si>
    <t>VF Corporation</t>
  </si>
  <si>
    <t>VFC</t>
  </si>
  <si>
    <t>Puma SE</t>
  </si>
  <si>
    <t>PUM.DE</t>
  </si>
  <si>
    <t>Average</t>
  </si>
  <si>
    <t>Median</t>
  </si>
  <si>
    <t>Skechers (SKX) excluded -- taken private by 3G Capital, deal closed Sept-2025. Puma excluded from EV/EBITDA avg/median (transition-year margins). Under Armour and Puma excluded from P/E avg/median (loss-making, n.m.).</t>
  </si>
  <si>
    <t>NIKE IMPLIED VALUATION -- TRADING COMPS</t>
  </si>
  <si>
    <t>NIKE LTM Revenue</t>
  </si>
  <si>
    <t>NIKE LTM EBITDA</t>
  </si>
  <si>
    <t>NIKE LTM EPS (Diluted)</t>
  </si>
  <si>
    <t>Implied Enterprise Value -- EV/Revenue Method</t>
  </si>
  <si>
    <t>Implied Enterprise Value -- EV/EBITDA Method</t>
  </si>
  <si>
    <t>Less: Net Debt (FY26A)</t>
  </si>
  <si>
    <t>Implied Equity Value -- EV/Revenue Method</t>
  </si>
  <si>
    <t>Implied Equity Value -- EV/EBITDA Method</t>
  </si>
  <si>
    <t>Implied Equity Value -- P/E Method</t>
  </si>
  <si>
    <t>Diluted Shares Outstanding (FY26A)</t>
  </si>
  <si>
    <t>Implied Share Price -- EV/Revenue Method</t>
  </si>
  <si>
    <t>Implied Share Price -- EV/EBITDA Method</t>
  </si>
  <si>
    <t>Implied Share Price -- P/E Method</t>
  </si>
  <si>
    <t>All figures in USD millions except per-share data. Market data as of late August 2026.</t>
  </si>
  <si>
    <t xml:space="preserve">Driver Switch </t>
  </si>
  <si>
    <t xml:space="preserve">REVENUE GROWTH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</si>
</sst>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\$#,##0.00_);&quot;($&quot;#,##0.00\);_(\–_);_(@_)"/>
    <numFmt numFmtId="165" formatCode="_(#,##0.0%_);\(#,##0.0%\);_(\–_);_(@_)"/>
    <numFmt numFmtId="166" formatCode="_(#,##0_);\(#,##0\);_(\–_);_(@_)"/>
    <numFmt numFmtId="167" formatCode="_(#,##0.00%_);\(#,##0.00%\);_(\–_);_(@_)"/>
    <numFmt numFmtId="168" formatCode="0.00\x"/>
    <numFmt numFmtId="169" formatCode="#,##0.0&quot; days&quot;"/>
    <numFmt numFmtId="170" formatCode="0.0"/>
    <numFmt numFmtId="171" formatCode="0.000"/>
  </numFmts>
  <fonts count="17" x14ac:knownFonts="1">
    <font>
      <sz val="11"/>
      <color theme="1"/>
      <name val="Calibri"/>
      <family val="2"/>
      <charset val="1"/>
    </font>
    <font>
      <b/>
      <sz val="20"/>
      <color rgb="FF4472C4"/>
      <name val="Open Sans"/>
      <charset val="1"/>
    </font>
    <font>
      <b/>
      <sz val="14"/>
      <color rgb="FF132E57"/>
      <name val="Open Sans"/>
      <charset val="1"/>
    </font>
    <font>
      <i/>
      <sz val="12"/>
      <color rgb="FF000000"/>
      <name val="Open Sans"/>
      <charset val="1"/>
    </font>
    <font>
      <i/>
      <sz val="9"/>
      <color rgb="FF000000"/>
      <name val="Open Sans"/>
      <charset val="1"/>
    </font>
    <font>
      <u/>
      <sz val="12"/>
      <color rgb="FF0563C1"/>
      <name val="Open Sans"/>
      <charset val="1"/>
    </font>
    <font>
      <sz val="10"/>
      <color rgb="FF000000"/>
      <name val="Open Sans"/>
      <charset val="1"/>
    </font>
    <font>
      <b/>
      <sz val="10"/>
      <color rgb="FF000000"/>
      <name val="Open Sans"/>
      <charset val="1"/>
    </font>
    <font>
      <b/>
      <sz val="12"/>
      <color rgb="FF000000"/>
      <name val="Open Sans"/>
      <charset val="1"/>
    </font>
    <font>
      <b/>
      <sz val="14"/>
      <color rgb="FF3271D2"/>
      <name val="Open Sans"/>
      <charset val="1"/>
    </font>
    <font>
      <sz val="10"/>
      <color rgb="FF3271D2"/>
      <name val="Open Sans"/>
      <charset val="1"/>
    </font>
    <font>
      <i/>
      <sz val="10"/>
      <color rgb="FF000000"/>
      <name val="Open Sans"/>
      <charset val="1"/>
    </font>
    <font>
      <b/>
      <i/>
      <sz val="10"/>
      <color rgb="FF000000"/>
      <name val="Open Sans"/>
      <charset val="1"/>
    </font>
    <font>
      <b/>
      <sz val="10"/>
      <color rgb="FF3271D2"/>
      <name val="Open Sans"/>
      <charset val="1"/>
    </font>
    <font>
      <i/>
      <sz val="8"/>
      <color rgb="FF000000"/>
      <name val="Open Sans"/>
      <charset val="1"/>
    </font>
    <font>
      <b/>
      <sz val="10"/>
      <name val="Open Sans"/>
      <charset val="1"/>
    </font>
    <font>
      <b/>
      <sz val="9"/>
      <name val="Ope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E7F2FF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8" fillId="2" borderId="0" xfId="0" applyFont="1" applyFill="1"/>
    <xf numFmtId="0" fontId="4" fillId="2" borderId="0" xfId="0" applyFont="1" applyFill="1"/>
    <xf numFmtId="0" fontId="9" fillId="2" borderId="0" xfId="0" applyFont="1" applyFill="1"/>
    <xf numFmtId="164" fontId="7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168" fontId="6" fillId="0" borderId="0" xfId="0" applyNumberFormat="1" applyFont="1"/>
    <xf numFmtId="0" fontId="7" fillId="0" borderId="1" xfId="0" applyFont="1" applyBorder="1" applyAlignment="1">
      <alignment horizontal="center"/>
    </xf>
    <xf numFmtId="166" fontId="10" fillId="0" borderId="0" xfId="0" applyNumberFormat="1" applyFont="1"/>
    <xf numFmtId="3" fontId="10" fillId="0" borderId="0" xfId="0" applyNumberFormat="1" applyFont="1"/>
    <xf numFmtId="165" fontId="10" fillId="0" borderId="0" xfId="0" applyNumberFormat="1" applyFont="1"/>
    <xf numFmtId="169" fontId="6" fillId="0" borderId="0" xfId="0" applyNumberFormat="1" applyFont="1"/>
    <xf numFmtId="169" fontId="10" fillId="0" borderId="0" xfId="0" applyNumberFormat="1" applyFont="1"/>
    <xf numFmtId="167" fontId="10" fillId="0" borderId="0" xfId="0" applyNumberFormat="1" applyFont="1"/>
    <xf numFmtId="2" fontId="10" fillId="0" borderId="0" xfId="0" applyNumberFormat="1" applyFont="1"/>
    <xf numFmtId="167" fontId="7" fillId="0" borderId="0" xfId="0" applyNumberFormat="1" applyFont="1"/>
    <xf numFmtId="166" fontId="7" fillId="0" borderId="0" xfId="0" applyNumberFormat="1" applyFont="1"/>
    <xf numFmtId="165" fontId="7" fillId="0" borderId="0" xfId="0" applyNumberFormat="1" applyFont="1"/>
    <xf numFmtId="164" fontId="10" fillId="0" borderId="0" xfId="0" applyNumberFormat="1" applyFont="1"/>
    <xf numFmtId="0" fontId="11" fillId="0" borderId="0" xfId="0" applyFont="1"/>
    <xf numFmtId="166" fontId="12" fillId="0" borderId="0" xfId="0" applyNumberFormat="1" applyFont="1"/>
    <xf numFmtId="166" fontId="13" fillId="0" borderId="0" xfId="0" applyNumberFormat="1" applyFont="1"/>
    <xf numFmtId="0" fontId="14" fillId="0" borderId="0" xfId="0" applyFont="1"/>
    <xf numFmtId="170" fontId="6" fillId="0" borderId="0" xfId="0" applyNumberFormat="1" applyFont="1"/>
    <xf numFmtId="171" fontId="6" fillId="0" borderId="0" xfId="0" applyNumberFormat="1" applyFont="1"/>
    <xf numFmtId="165" fontId="7" fillId="0" borderId="0" xfId="0" applyNumberFormat="1" applyFont="1" applyAlignment="1">
      <alignment horizontal="center"/>
    </xf>
    <xf numFmtId="164" fontId="15" fillId="2" borderId="0" xfId="0" applyNumberFormat="1" applyFont="1" applyFill="1"/>
    <xf numFmtId="0" fontId="16" fillId="0" borderId="1" xfId="0" applyFont="1" applyBorder="1" applyAlignment="1">
      <alignment horizontal="center" wrapText="1"/>
    </xf>
    <xf numFmtId="0" fontId="7" fillId="0" borderId="2" xfId="0" applyFont="1" applyBorder="1"/>
    <xf numFmtId="0" fontId="0" fillId="0" borderId="2" xfId="0" applyBorder="1"/>
    <xf numFmtId="168" fontId="7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F2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271D2"/>
      <rgbColor rgb="FF33CCCC"/>
      <rgbColor rgb="FF99CC00"/>
      <rgbColor rgb="FFFFCC00"/>
      <rgbColor rgb="FFFF9900"/>
      <rgbColor rgb="FFFF6600"/>
      <rgbColor rgb="FF4472C4"/>
      <rgbColor rgb="FF969696"/>
      <rgbColor rgb="FF132E57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Implied Share Price by Method vs. Current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Outputs!$D$7</c:f>
              <c:strCache>
                <c:ptCount val="1"/>
                <c:pt idx="0">
                  <c:v>Implied Share 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Outputs!$B$8:$B$12</c:f>
              <c:strCache>
                <c:ptCount val="5"/>
                <c:pt idx="0">
                  <c:v>DCF -- Perpetuity Growth Method</c:v>
                </c:pt>
                <c:pt idx="1">
                  <c:v>DCF -- Exit Multiple Method</c:v>
                </c:pt>
                <c:pt idx="2">
                  <c:v>Comps -- EV/Revenue Method</c:v>
                </c:pt>
                <c:pt idx="3">
                  <c:v>Comps -- EV/EBITDA Method</c:v>
                </c:pt>
                <c:pt idx="4">
                  <c:v>Comps -- P/E Method</c:v>
                </c:pt>
              </c:strCache>
            </c:strRef>
          </c:cat>
          <c:val>
            <c:numRef>
              <c:f>Outputs!$D$8:$D$12</c:f>
              <c:numCache>
                <c:formatCode>_(\$#,##0.00_);"($"#,##0.00\);_(\–_);_(@_)</c:formatCode>
                <c:ptCount val="5"/>
                <c:pt idx="0">
                  <c:v>45.2991901549725</c:v>
                </c:pt>
                <c:pt idx="1">
                  <c:v>49.099602755701738</c:v>
                </c:pt>
                <c:pt idx="2">
                  <c:v>37.713789559621688</c:v>
                </c:pt>
                <c:pt idx="3">
                  <c:v>32.966099495928368</c:v>
                </c:pt>
                <c:pt idx="4">
                  <c:v>32.489502178327299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7-3145-99FB-63D14D2FC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741091"/>
        <c:axId val="71198652"/>
      </c:barChart>
      <c:catAx>
        <c:axId val="44741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198652"/>
        <c:crosses val="autoZero"/>
        <c:auto val="1"/>
        <c:lblAlgn val="ctr"/>
        <c:lblOffset val="100"/>
        <c:noMultiLvlLbl val="0"/>
      </c:catAx>
      <c:valAx>
        <c:axId val="71198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USD /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\$#,##0.00_);&quot;($&quot;#,##0.00\);_(\–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41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List" dx="15" fmlaLink="$C$10" fmlaRange="$B$16:$B$18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160560</xdr:rowOff>
    </xdr:from>
    <xdr:to>
      <xdr:col>6</xdr:col>
      <xdr:colOff>855720</xdr:colOff>
      <xdr:row>48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106486</xdr:colOff>
          <xdr:row>8</xdr:row>
          <xdr:rowOff>30283</xdr:rowOff>
        </xdr:from>
        <xdr:to>
          <xdr:col>3</xdr:col>
          <xdr:colOff>302847</xdr:colOff>
          <xdr:row>11</xdr:row>
          <xdr:rowOff>97692</xdr:rowOff>
        </xdr:to>
        <xdr:sp macro="" textlink="">
          <xdr:nvSpPr>
            <xdr:cNvPr id="3077" name="List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E755C163-45E1-0C07-4388-0B179EC11B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Downloads/Nike%20(NKE)%20-%203-Statement%20Model,%20DCF%20&amp;%20Comps.xlsx" TargetMode="External"/><Relationship Id="rId2" Type="http://schemas.openxmlformats.org/officeDocument/2006/relationships/hyperlink" Target="../Downloads/Nike%20(NKE)%20-%203-Statement%20Model,%20DCF%20&amp;%20Comps.xlsx" TargetMode="External"/><Relationship Id="rId1" Type="http://schemas.openxmlformats.org/officeDocument/2006/relationships/hyperlink" Target="../Downloads/Nike%20(NKE)%20-%203-Statement%20Model,%20DCF%20&amp;%20Comps.xlsx" TargetMode="External"/><Relationship Id="rId5" Type="http://schemas.openxmlformats.org/officeDocument/2006/relationships/hyperlink" Target="../Downloads/Nike%20(NKE)%20-%203-Statement%20Model,%20DCF%20&amp;%20Comps.xlsx" TargetMode="External"/><Relationship Id="rId4" Type="http://schemas.openxmlformats.org/officeDocument/2006/relationships/hyperlink" Target="../Downloads/Nike%20(NKE)%20-%203-Statement%20Model,%20DCF%20&amp;%20Comps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P38"/>
  <sheetViews>
    <sheetView showGridLines="0" zoomScaleNormal="100" workbookViewId="0"/>
  </sheetViews>
  <sheetFormatPr baseColWidth="10" defaultColWidth="8.6640625" defaultRowHeight="15" x14ac:dyDescent="0.2"/>
  <cols>
    <col min="1" max="1" width="5" customWidth="1"/>
    <col min="2" max="10" width="12" customWidth="1"/>
    <col min="11" max="11" width="22" customWidth="1"/>
    <col min="14" max="14" width="14" customWidth="1"/>
  </cols>
  <sheetData>
    <row r="11" spans="3:14" ht="28" x14ac:dyDescent="0.35">
      <c r="C11" s="1" t="s">
        <v>0</v>
      </c>
      <c r="N11" s="2" t="s">
        <v>1</v>
      </c>
    </row>
    <row r="12" spans="3:14" ht="16" x14ac:dyDescent="0.2">
      <c r="C12" s="3" t="s">
        <v>2</v>
      </c>
      <c r="N12" s="4" t="s">
        <v>3</v>
      </c>
    </row>
    <row r="14" spans="3:14" ht="20" x14ac:dyDescent="0.25">
      <c r="C14" s="2" t="s">
        <v>4</v>
      </c>
      <c r="K14" s="2" t="s">
        <v>5</v>
      </c>
    </row>
    <row r="16" spans="3:14" ht="16" x14ac:dyDescent="0.2">
      <c r="C16" s="5" t="s">
        <v>6</v>
      </c>
      <c r="K16" s="6" t="s">
        <v>7</v>
      </c>
      <c r="N16" s="7" t="str">
        <f>IF(SUM(Model!D78:K78)=0,"No","Yes")</f>
        <v>No</v>
      </c>
    </row>
    <row r="17" spans="1:16" x14ac:dyDescent="0.2">
      <c r="C17" s="4" t="s">
        <v>8</v>
      </c>
      <c r="K17" s="6" t="s">
        <v>9</v>
      </c>
      <c r="N17" s="7" t="str">
        <f>IF(Inputs!F116&gt;Inputs!F117,"No","Yes")</f>
        <v>No</v>
      </c>
    </row>
    <row r="18" spans="1:16" ht="16" x14ac:dyDescent="0.2">
      <c r="C18" s="5" t="s">
        <v>10</v>
      </c>
      <c r="K18" s="6" t="s">
        <v>11</v>
      </c>
      <c r="N18" s="7" t="str">
        <f>IF(COUNTIF(Model!G37:K37,"&lt;0")=0,"No","Yes")</f>
        <v>No</v>
      </c>
    </row>
    <row r="19" spans="1:16" x14ac:dyDescent="0.2">
      <c r="C19" s="4" t="s">
        <v>12</v>
      </c>
    </row>
    <row r="20" spans="1:16" ht="16" x14ac:dyDescent="0.2">
      <c r="C20" s="5" t="s">
        <v>13</v>
      </c>
    </row>
    <row r="21" spans="1:16" x14ac:dyDescent="0.2">
      <c r="C21" s="4" t="s">
        <v>14</v>
      </c>
    </row>
    <row r="22" spans="1:16" ht="16" x14ac:dyDescent="0.2">
      <c r="C22" s="5" t="s">
        <v>15</v>
      </c>
    </row>
    <row r="23" spans="1:16" x14ac:dyDescent="0.2">
      <c r="C23" s="4" t="s">
        <v>16</v>
      </c>
    </row>
    <row r="24" spans="1:16" ht="16" x14ac:dyDescent="0.2">
      <c r="C24" s="5" t="s">
        <v>17</v>
      </c>
    </row>
    <row r="25" spans="1:16" x14ac:dyDescent="0.2">
      <c r="C25" s="4" t="s">
        <v>18</v>
      </c>
    </row>
    <row r="30" spans="1:16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ht="16" x14ac:dyDescent="0.2">
      <c r="A31" s="8"/>
      <c r="B31" s="8"/>
      <c r="C31" s="9" t="s">
        <v>19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">
      <c r="A32" s="8"/>
      <c r="B32" s="8"/>
      <c r="C32" s="10" t="s">
        <v>20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">
      <c r="A33" s="8"/>
      <c r="B33" s="8"/>
      <c r="C33" s="10" t="s">
        <v>21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">
      <c r="A34" s="8"/>
      <c r="B34" s="8"/>
      <c r="C34" s="10" t="s">
        <v>22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">
      <c r="A35" s="8"/>
      <c r="B35" s="8"/>
      <c r="C35" s="10" t="s">
        <v>23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2">
      <c r="A36" s="8"/>
      <c r="B36" s="8"/>
      <c r="C36" s="10" t="s">
        <v>24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">
      <c r="A37" s="8"/>
      <c r="B37" s="8"/>
      <c r="C37" s="10" t="s">
        <v>25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">
      <c r="A38" s="8"/>
      <c r="B38" s="8"/>
      <c r="C38" s="10" t="s">
        <v>26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</sheetData>
  <hyperlinks>
    <hyperlink ref="C16" r:id="rId1" location="Outputs!A1" xr:uid="{00000000-0004-0000-0000-000000000000}"/>
    <hyperlink ref="C18" r:id="rId2" location="Inputs!A1" xr:uid="{00000000-0004-0000-0000-000001000000}"/>
    <hyperlink ref="C20" r:id="rId3" location="Model!A1" xr:uid="{00000000-0004-0000-0000-000002000000}"/>
    <hyperlink ref="C22" r:id="rId4" location="DCF!A1" xr:uid="{00000000-0004-0000-0000-000003000000}"/>
    <hyperlink ref="C24" r:id="rId5" location="Comps!A1" xr:uid="{00000000-0004-0000-00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53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9.1640625" customWidth="1"/>
    <col min="2" max="2" width="38" customWidth="1"/>
    <col min="3" max="8" width="13" customWidth="1"/>
    <col min="9" max="13" width="11" customWidth="1"/>
    <col min="14" max="14" width="34.5" customWidth="1"/>
    <col min="15" max="16" width="11" customWidth="1"/>
  </cols>
  <sheetData>
    <row r="3" spans="1:8" ht="20" x14ac:dyDescent="0.25">
      <c r="A3" s="8" t="s">
        <v>27</v>
      </c>
      <c r="B3" s="11" t="s">
        <v>28</v>
      </c>
      <c r="C3" s="8"/>
      <c r="D3" s="8"/>
      <c r="E3" s="8"/>
      <c r="F3" s="8"/>
      <c r="G3" s="8"/>
      <c r="H3" s="8"/>
    </row>
    <row r="5" spans="1:8" x14ac:dyDescent="0.2">
      <c r="B5" s="7" t="s">
        <v>29</v>
      </c>
      <c r="D5" s="12">
        <f>Inputs!F119</f>
        <v>39.6</v>
      </c>
    </row>
    <row r="7" spans="1:8" x14ac:dyDescent="0.2">
      <c r="B7" s="7" t="s">
        <v>30</v>
      </c>
      <c r="D7" s="7" t="s">
        <v>31</v>
      </c>
      <c r="E7" s="7" t="s">
        <v>32</v>
      </c>
    </row>
    <row r="8" spans="1:8" x14ac:dyDescent="0.2">
      <c r="B8" s="6" t="s">
        <v>33</v>
      </c>
      <c r="D8" s="13">
        <f>DCF!F35</f>
        <v>45.2991901549725</v>
      </c>
      <c r="E8" s="14">
        <f>DCF!F37</f>
        <v>0.14391894330738642</v>
      </c>
    </row>
    <row r="9" spans="1:8" x14ac:dyDescent="0.2">
      <c r="B9" s="6" t="s">
        <v>34</v>
      </c>
      <c r="D9" s="13">
        <f>DCF!F36</f>
        <v>49.099602755701738</v>
      </c>
      <c r="E9" s="14">
        <f>DCF!F38</f>
        <v>0.23988895847731651</v>
      </c>
    </row>
    <row r="10" spans="1:8" x14ac:dyDescent="0.2">
      <c r="B10" s="6" t="s">
        <v>35</v>
      </c>
      <c r="D10" s="13">
        <f>Comps!F30</f>
        <v>37.713789559621688</v>
      </c>
      <c r="E10" s="14">
        <f>D10/D5-1</f>
        <v>-4.7631576777230178E-2</v>
      </c>
    </row>
    <row r="11" spans="1:8" x14ac:dyDescent="0.2">
      <c r="B11" s="6" t="s">
        <v>36</v>
      </c>
      <c r="D11" s="13">
        <f>Comps!F31</f>
        <v>32.966099495928368</v>
      </c>
      <c r="E11" s="14">
        <f>D11/D5-1</f>
        <v>-0.16752274000180889</v>
      </c>
    </row>
    <row r="12" spans="1:8" x14ac:dyDescent="0.2">
      <c r="B12" s="6" t="s">
        <v>37</v>
      </c>
      <c r="D12" s="13">
        <f>Comps!F32</f>
        <v>32.489502178327299</v>
      </c>
      <c r="E12" s="14">
        <f>D12/D5-1</f>
        <v>-0.17955802579981572</v>
      </c>
    </row>
    <row r="14" spans="1:8" x14ac:dyDescent="0.2">
      <c r="B14" s="7" t="s">
        <v>38</v>
      </c>
    </row>
    <row r="16" spans="1:8" x14ac:dyDescent="0.2">
      <c r="D16" s="7" t="s">
        <v>39</v>
      </c>
      <c r="E16" s="7" t="s">
        <v>40</v>
      </c>
    </row>
    <row r="17" spans="2:5" x14ac:dyDescent="0.2">
      <c r="B17" s="6" t="s">
        <v>41</v>
      </c>
      <c r="D17" s="15">
        <f>Model!F18</f>
        <v>46398</v>
      </c>
      <c r="E17" s="15">
        <f>Model!K18</f>
        <v>52420.805579990483</v>
      </c>
    </row>
    <row r="18" spans="2:5" x14ac:dyDescent="0.2">
      <c r="B18" s="6" t="s">
        <v>42</v>
      </c>
      <c r="E18" s="14">
        <f>(E17/D17)^(1/5)-1</f>
        <v>2.4709791383781488E-2</v>
      </c>
    </row>
    <row r="19" spans="2:5" x14ac:dyDescent="0.2">
      <c r="B19" s="6" t="s">
        <v>43</v>
      </c>
      <c r="D19" s="14">
        <f>Model!F21/Model!F18</f>
        <v>0.42913487650329757</v>
      </c>
      <c r="E19" s="14">
        <f>Model!K21/Model!K18</f>
        <v>0.44700000000000012</v>
      </c>
    </row>
    <row r="20" spans="2:5" x14ac:dyDescent="0.2">
      <c r="B20" s="6" t="s">
        <v>44</v>
      </c>
      <c r="D20" s="14">
        <f>Model!F27/Model!F18</f>
        <v>8.1835423940687102E-2</v>
      </c>
      <c r="E20" s="14">
        <f>Model!K27/Model!K18</f>
        <v>0.12800000000000009</v>
      </c>
    </row>
    <row r="21" spans="2:5" x14ac:dyDescent="0.2">
      <c r="B21" s="6" t="s">
        <v>45</v>
      </c>
      <c r="D21" s="15">
        <f>Model!F34</f>
        <v>3108</v>
      </c>
      <c r="E21" s="15">
        <f>Model!K34</f>
        <v>5069.1115712426672</v>
      </c>
    </row>
    <row r="22" spans="2:5" x14ac:dyDescent="0.2">
      <c r="B22" s="6" t="s">
        <v>46</v>
      </c>
      <c r="D22" s="13">
        <f>Model!F37</f>
        <v>2.0985820391627277</v>
      </c>
      <c r="E22" s="13">
        <f>Model!K37</f>
        <v>3.6914385148845965</v>
      </c>
    </row>
    <row r="23" spans="2:5" x14ac:dyDescent="0.2">
      <c r="B23" s="6" t="s">
        <v>47</v>
      </c>
      <c r="D23" s="15">
        <f>Model!F36</f>
        <v>1481</v>
      </c>
      <c r="E23" s="15">
        <f>Model!K36</f>
        <v>1373.2076400034907</v>
      </c>
    </row>
    <row r="24" spans="2:5" x14ac:dyDescent="0.2">
      <c r="B24" s="6" t="s">
        <v>48</v>
      </c>
      <c r="E24" s="15">
        <f>DCF!K13</f>
        <v>4787.9487534357522</v>
      </c>
    </row>
    <row r="26" spans="2:5" x14ac:dyDescent="0.2">
      <c r="B26" s="7" t="s">
        <v>49</v>
      </c>
    </row>
    <row r="28" spans="2:5" x14ac:dyDescent="0.2">
      <c r="B28" s="6" t="s">
        <v>50</v>
      </c>
      <c r="D28" s="16">
        <f>Inputs!F116</f>
        <v>8.8188304744284393E-2</v>
      </c>
    </row>
    <row r="29" spans="2:5" x14ac:dyDescent="0.2">
      <c r="B29" s="6" t="s">
        <v>51</v>
      </c>
      <c r="D29" s="14">
        <f>Inputs!F117</f>
        <v>0.02</v>
      </c>
    </row>
    <row r="30" spans="2:5" x14ac:dyDescent="0.2">
      <c r="B30" s="6" t="s">
        <v>52</v>
      </c>
      <c r="D30" s="17">
        <f>Inputs!F118</f>
        <v>10.505676354196723</v>
      </c>
    </row>
    <row r="53" spans="2:2" x14ac:dyDescent="0.2">
      <c r="B53" s="4" t="s">
        <v>53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N120"/>
  <sheetViews>
    <sheetView showGridLines="0" tabSelected="1" topLeftCell="B1" zoomScale="130" zoomScaleNormal="130" workbookViewId="0">
      <pane ySplit="1" topLeftCell="A2" activePane="bottomLeft" state="frozen"/>
      <selection pane="bottomLeft" activeCell="C21" sqref="C21"/>
    </sheetView>
  </sheetViews>
  <sheetFormatPr baseColWidth="10" defaultColWidth="8.6640625" defaultRowHeight="15" x14ac:dyDescent="0.2"/>
  <cols>
    <col min="1" max="1" width="9.1640625" customWidth="1"/>
    <col min="2" max="2" width="41" customWidth="1"/>
    <col min="3" max="3" width="13" customWidth="1"/>
    <col min="4" max="13" width="11" customWidth="1"/>
    <col min="14" max="14" width="34.5" customWidth="1"/>
    <col min="15" max="16" width="11" customWidth="1"/>
  </cols>
  <sheetData>
    <row r="3" spans="1:14" ht="20" x14ac:dyDescent="0.25">
      <c r="A3" s="8" t="s">
        <v>27</v>
      </c>
      <c r="B3" s="11" t="s">
        <v>54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5" spans="1:14" x14ac:dyDescent="0.2">
      <c r="B5" s="6" t="s">
        <v>55</v>
      </c>
      <c r="D5" s="18" t="s">
        <v>56</v>
      </c>
      <c r="E5" s="18" t="s">
        <v>57</v>
      </c>
      <c r="F5" s="18" t="s">
        <v>39</v>
      </c>
      <c r="G5" s="18" t="s">
        <v>58</v>
      </c>
      <c r="H5" s="18" t="s">
        <v>59</v>
      </c>
      <c r="I5" s="18" t="s">
        <v>60</v>
      </c>
      <c r="J5" s="18" t="s">
        <v>61</v>
      </c>
      <c r="K5" s="18" t="s">
        <v>40</v>
      </c>
    </row>
    <row r="7" spans="1:14" x14ac:dyDescent="0.2">
      <c r="B7" s="6" t="s">
        <v>62</v>
      </c>
      <c r="D7" s="19">
        <v>365</v>
      </c>
      <c r="E7" s="19">
        <v>365</v>
      </c>
      <c r="F7" s="19">
        <v>365</v>
      </c>
      <c r="G7" s="19">
        <v>365</v>
      </c>
      <c r="H7" s="19">
        <v>365</v>
      </c>
      <c r="I7" s="19">
        <v>365</v>
      </c>
      <c r="J7" s="19">
        <v>365</v>
      </c>
      <c r="K7" s="19">
        <v>365</v>
      </c>
    </row>
    <row r="10" spans="1:14" x14ac:dyDescent="0.2">
      <c r="B10" s="7" t="s">
        <v>316</v>
      </c>
      <c r="C10" s="20">
        <v>2</v>
      </c>
      <c r="F10" s="20"/>
    </row>
    <row r="12" spans="1:14" x14ac:dyDescent="0.2">
      <c r="B12" s="7" t="s">
        <v>317</v>
      </c>
    </row>
    <row r="14" spans="1:14" x14ac:dyDescent="0.2">
      <c r="B14" s="6" t="s">
        <v>63</v>
      </c>
      <c r="E14" s="14">
        <f>Model!E9/Model!D9-1</f>
        <v>-8.5249579360628158E-2</v>
      </c>
      <c r="F14" s="14">
        <f>Model!F9/Model!E9-1</f>
        <v>4.7976701410177736E-2</v>
      </c>
      <c r="G14" s="14" cm="1">
        <f t="array" ref="G14">INDEX(G16:G18,$C$10)</f>
        <v>4.8000000000000001E-2</v>
      </c>
      <c r="H14" s="14" cm="1">
        <f t="array" ref="H14">INDEX(H16:H18,$C$10)</f>
        <v>0.04</v>
      </c>
      <c r="I14" s="14" cm="1">
        <f t="array" ref="I14">INDEX(I16:I18,$C$10)</f>
        <v>0.04</v>
      </c>
      <c r="J14" s="14" cm="1">
        <f t="array" ref="J14">INDEX(J16:J18,$C$10)</f>
        <v>3.7999999999999999E-2</v>
      </c>
      <c r="K14" s="14" cm="1">
        <f t="array" ref="K14">INDEX(K16:K18,$C$10)</f>
        <v>0.04</v>
      </c>
    </row>
    <row r="16" spans="1:14" x14ac:dyDescent="0.2">
      <c r="B16" s="6" t="s">
        <v>64</v>
      </c>
      <c r="G16" s="21">
        <v>6.8000000000000005E-2</v>
      </c>
      <c r="H16" s="21">
        <v>0.06</v>
      </c>
      <c r="I16" s="21">
        <v>0.06</v>
      </c>
      <c r="J16" s="21">
        <v>5.8000000000000003E-2</v>
      </c>
      <c r="K16" s="21">
        <v>0.06</v>
      </c>
    </row>
    <row r="17" spans="2:11" x14ac:dyDescent="0.2">
      <c r="B17" s="6" t="s">
        <v>65</v>
      </c>
      <c r="G17" s="21">
        <v>4.8000000000000001E-2</v>
      </c>
      <c r="H17" s="21">
        <v>0.04</v>
      </c>
      <c r="I17" s="21">
        <v>0.04</v>
      </c>
      <c r="J17" s="21">
        <v>3.7999999999999999E-2</v>
      </c>
      <c r="K17" s="21">
        <v>0.04</v>
      </c>
    </row>
    <row r="18" spans="2:11" x14ac:dyDescent="0.2">
      <c r="B18" s="6" t="s">
        <v>66</v>
      </c>
      <c r="G18" s="21">
        <v>2.8000000000000001E-2</v>
      </c>
      <c r="H18" s="21">
        <v>0.02</v>
      </c>
      <c r="I18" s="21">
        <v>0.02</v>
      </c>
      <c r="J18" s="21">
        <v>1.7999999999999999E-2</v>
      </c>
      <c r="K18" s="21">
        <v>0.02</v>
      </c>
    </row>
    <row r="21" spans="2:11" x14ac:dyDescent="0.2">
      <c r="B21" s="6" t="s">
        <v>67</v>
      </c>
      <c r="E21" s="14">
        <f>Model!E10/Model!D10-1</f>
        <v>-9.9213640038215645E-2</v>
      </c>
      <c r="F21" s="14">
        <f>Model!F10/Model!E10-1</f>
        <v>2.5699600228440866E-2</v>
      </c>
      <c r="G21" s="14" cm="1">
        <f t="array" ref="G21">INDEX(G23:G25,$C$10)</f>
        <v>1.4E-2</v>
      </c>
      <c r="H21" s="14" cm="1">
        <f t="array" ref="H21">INDEX(H23:H25,$C$10)</f>
        <v>2.5000000000000001E-2</v>
      </c>
      <c r="I21" s="14" cm="1">
        <f t="array" ref="I21">INDEX(I23:I25,$C$10)</f>
        <v>2.5000000000000001E-2</v>
      </c>
      <c r="J21" s="14" cm="1">
        <f t="array" ref="J21">INDEX(J23:J25,$C$10)</f>
        <v>2.5000000000000001E-2</v>
      </c>
      <c r="K21" s="14" cm="1">
        <f t="array" ref="K21">INDEX(K23:K25,$C$10)</f>
        <v>2.5000000000000001E-2</v>
      </c>
    </row>
    <row r="23" spans="2:11" x14ac:dyDescent="0.2">
      <c r="B23" s="6" t="str">
        <f>B16</f>
        <v>Best Case</v>
      </c>
      <c r="G23" s="21">
        <v>3.4000000000000002E-2</v>
      </c>
      <c r="H23" s="21">
        <v>4.4999999999999998E-2</v>
      </c>
      <c r="I23" s="21">
        <v>4.4999999999999998E-2</v>
      </c>
      <c r="J23" s="21">
        <v>4.4999999999999998E-2</v>
      </c>
      <c r="K23" s="21">
        <v>4.4999999999999998E-2</v>
      </c>
    </row>
    <row r="24" spans="2:11" x14ac:dyDescent="0.2">
      <c r="B24" s="6" t="str">
        <f>B17</f>
        <v>Base Case</v>
      </c>
      <c r="G24" s="21">
        <v>1.4E-2</v>
      </c>
      <c r="H24" s="21">
        <v>2.5000000000000001E-2</v>
      </c>
      <c r="I24" s="21">
        <v>2.5000000000000001E-2</v>
      </c>
      <c r="J24" s="21">
        <v>2.5000000000000001E-2</v>
      </c>
      <c r="K24" s="21">
        <v>2.5000000000000001E-2</v>
      </c>
    </row>
    <row r="25" spans="2:11" x14ac:dyDescent="0.2">
      <c r="B25" s="6" t="str">
        <f>B18</f>
        <v>Worst Case</v>
      </c>
      <c r="G25" s="21">
        <v>-6.0000000000000001E-3</v>
      </c>
      <c r="H25" s="21">
        <v>5.0000000000000001E-3</v>
      </c>
      <c r="I25" s="21">
        <v>5.0000000000000001E-3</v>
      </c>
      <c r="J25" s="21">
        <v>5.0000000000000001E-3</v>
      </c>
      <c r="K25" s="21">
        <v>5.0000000000000001E-3</v>
      </c>
    </row>
    <row r="28" spans="2:11" x14ac:dyDescent="0.2">
      <c r="B28" s="6" t="s">
        <v>68</v>
      </c>
      <c r="E28" s="14">
        <f>Model!E11/Model!D11-1</f>
        <v>-0.12710404241219353</v>
      </c>
      <c r="F28" s="14">
        <f>Model!F11/Model!E11-1</f>
        <v>-0.11220771333130886</v>
      </c>
      <c r="G28" s="14" cm="1">
        <f t="array" ref="G28">INDEX(G30:G32,$C$10)</f>
        <v>-0.128</v>
      </c>
      <c r="H28" s="14" cm="1">
        <f t="array" ref="H28">INDEX(H30:H32,$C$10)</f>
        <v>0.01</v>
      </c>
      <c r="I28" s="14" cm="1">
        <f t="array" ref="I28">INDEX(I30:I32,$C$10)</f>
        <v>0.01</v>
      </c>
      <c r="J28" s="14" cm="1">
        <f t="array" ref="J28">INDEX(J30:J32,$C$10)</f>
        <v>0.01</v>
      </c>
      <c r="K28" s="14" cm="1">
        <f t="array" ref="K28">INDEX(K30:K32,$C$10)</f>
        <v>0.02</v>
      </c>
    </row>
    <row r="30" spans="2:11" x14ac:dyDescent="0.2">
      <c r="B30" s="6" t="str">
        <f>B16</f>
        <v>Best Case</v>
      </c>
      <c r="G30" s="21">
        <v>-0.108</v>
      </c>
      <c r="H30" s="21">
        <v>0.03</v>
      </c>
      <c r="I30" s="21">
        <v>0.03</v>
      </c>
      <c r="J30" s="21">
        <v>0.03</v>
      </c>
      <c r="K30" s="21">
        <v>0.04</v>
      </c>
    </row>
    <row r="31" spans="2:11" x14ac:dyDescent="0.2">
      <c r="B31" s="6" t="str">
        <f>B17</f>
        <v>Base Case</v>
      </c>
      <c r="G31" s="21">
        <v>-0.128</v>
      </c>
      <c r="H31" s="21">
        <v>0.01</v>
      </c>
      <c r="I31" s="21">
        <v>0.01</v>
      </c>
      <c r="J31" s="21">
        <v>0.01</v>
      </c>
      <c r="K31" s="21">
        <v>0.02</v>
      </c>
    </row>
    <row r="32" spans="2:11" x14ac:dyDescent="0.2">
      <c r="B32" s="6" t="str">
        <f>B18</f>
        <v>Worst Case</v>
      </c>
      <c r="G32" s="21">
        <v>-0.14799999999999999</v>
      </c>
      <c r="H32" s="21">
        <v>-0.01</v>
      </c>
      <c r="I32" s="21">
        <v>-0.01</v>
      </c>
      <c r="J32" s="21">
        <v>-0.01</v>
      </c>
      <c r="K32" s="21">
        <v>0</v>
      </c>
    </row>
    <row r="35" spans="2:11" x14ac:dyDescent="0.2">
      <c r="B35" s="6" t="s">
        <v>69</v>
      </c>
      <c r="E35" s="14">
        <f>Model!E12/Model!D12-1</f>
        <v>-7.1035815128548063E-2</v>
      </c>
      <c r="F35" s="14">
        <f>Model!F12/Model!E12-1</f>
        <v>-1.2797952327627815E-3</v>
      </c>
      <c r="G35" s="14" cm="1">
        <f t="array" ref="G35">INDEX(G37:G39,$C$10)</f>
        <v>-1E-3</v>
      </c>
      <c r="H35" s="14" cm="1">
        <f t="array" ref="H35">INDEX(H37:H39,$C$10)</f>
        <v>0.03</v>
      </c>
      <c r="I35" s="14" cm="1">
        <f t="array" ref="I35">INDEX(I37:I39,$C$10)</f>
        <v>0.03</v>
      </c>
      <c r="J35" s="14" cm="1">
        <f t="array" ref="J35">INDEX(J37:J39,$C$10)</f>
        <v>3.5000000000000003E-2</v>
      </c>
      <c r="K35" s="14" cm="1">
        <f t="array" ref="K35">INDEX(K37:K39,$C$10)</f>
        <v>3.5000000000000003E-2</v>
      </c>
    </row>
    <row r="37" spans="2:11" x14ac:dyDescent="0.2">
      <c r="B37" s="6" t="str">
        <f>B16</f>
        <v>Best Case</v>
      </c>
      <c r="G37" s="21">
        <v>1.9E-2</v>
      </c>
      <c r="H37" s="21">
        <v>0.05</v>
      </c>
      <c r="I37" s="21">
        <v>0.05</v>
      </c>
      <c r="J37" s="21">
        <v>5.5E-2</v>
      </c>
      <c r="K37" s="21">
        <v>5.5E-2</v>
      </c>
    </row>
    <row r="38" spans="2:11" x14ac:dyDescent="0.2">
      <c r="B38" s="6" t="str">
        <f>B17</f>
        <v>Base Case</v>
      </c>
      <c r="G38" s="21">
        <v>-1E-3</v>
      </c>
      <c r="H38" s="21">
        <v>0.03</v>
      </c>
      <c r="I38" s="21">
        <v>0.03</v>
      </c>
      <c r="J38" s="21">
        <v>3.5000000000000003E-2</v>
      </c>
      <c r="K38" s="21">
        <v>3.5000000000000003E-2</v>
      </c>
    </row>
    <row r="39" spans="2:11" x14ac:dyDescent="0.2">
      <c r="B39" s="6" t="str">
        <f>B18</f>
        <v>Worst Case</v>
      </c>
      <c r="G39" s="21">
        <v>-2.1000000000000001E-2</v>
      </c>
      <c r="H39" s="21">
        <v>0.01</v>
      </c>
      <c r="I39" s="21">
        <v>0.01</v>
      </c>
      <c r="J39" s="21">
        <v>1.4999999999999999E-2</v>
      </c>
      <c r="K39" s="21">
        <v>1.4999999999999999E-2</v>
      </c>
    </row>
    <row r="42" spans="2:11" x14ac:dyDescent="0.2">
      <c r="B42" s="6" t="s">
        <v>70</v>
      </c>
      <c r="E42" s="14">
        <f>Model!E13/Model!D13-1</f>
        <v>6.6666666666666652E-2</v>
      </c>
      <c r="F42" s="14">
        <f>Model!F13/Model!E13-1</f>
        <v>2.0833333333333259E-2</v>
      </c>
      <c r="G42" s="14" cm="1">
        <f t="array" ref="G42">INDEX(G44:G46,$C$10)</f>
        <v>0.02</v>
      </c>
      <c r="H42" s="14" cm="1">
        <f t="array" ref="H42">INDEX(H44:H46,$C$10)</f>
        <v>0.02</v>
      </c>
      <c r="I42" s="14" cm="1">
        <f t="array" ref="I42">INDEX(I44:I46,$C$10)</f>
        <v>0.02</v>
      </c>
      <c r="J42" s="14" cm="1">
        <f t="array" ref="J42">INDEX(J44:J46,$C$10)</f>
        <v>0.02</v>
      </c>
      <c r="K42" s="14" cm="1">
        <f t="array" ref="K42">INDEX(K44:K46,$C$10)</f>
        <v>0.02</v>
      </c>
    </row>
    <row r="44" spans="2:11" x14ac:dyDescent="0.2">
      <c r="B44" s="6" t="str">
        <f>B16</f>
        <v>Best Case</v>
      </c>
      <c r="G44" s="21">
        <v>0.04</v>
      </c>
      <c r="H44" s="21">
        <v>0.04</v>
      </c>
      <c r="I44" s="21">
        <v>0.04</v>
      </c>
      <c r="J44" s="21">
        <v>0.04</v>
      </c>
      <c r="K44" s="21">
        <v>0.04</v>
      </c>
    </row>
    <row r="45" spans="2:11" x14ac:dyDescent="0.2">
      <c r="B45" s="6" t="str">
        <f>B17</f>
        <v>Base Case</v>
      </c>
      <c r="G45" s="21">
        <v>0.02</v>
      </c>
      <c r="H45" s="21">
        <v>0.02</v>
      </c>
      <c r="I45" s="21">
        <v>0.02</v>
      </c>
      <c r="J45" s="21">
        <v>0.02</v>
      </c>
      <c r="K45" s="21">
        <v>0.02</v>
      </c>
    </row>
    <row r="46" spans="2:11" x14ac:dyDescent="0.2">
      <c r="B46" s="6" t="str">
        <f>B18</f>
        <v>Worst Case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</row>
    <row r="49" spans="2:14" x14ac:dyDescent="0.2">
      <c r="B49" s="6" t="s">
        <v>71</v>
      </c>
      <c r="E49" s="14">
        <f>Model!E16/Model!D16-1</f>
        <v>-0.18731988472622474</v>
      </c>
      <c r="F49" s="14">
        <f>Model!F16/Model!E16-1</f>
        <v>-0.30614657210401897</v>
      </c>
      <c r="G49" s="14" cm="1">
        <f t="array" ref="G49">INDEX(G51:G53,$C$10)</f>
        <v>-0.307</v>
      </c>
      <c r="H49" s="14" cm="1">
        <f t="array" ref="H49">INDEX(H51:H53,$C$10)</f>
        <v>-0.05</v>
      </c>
      <c r="I49" s="14" cm="1">
        <f t="array" ref="I49">INDEX(I51:I53,$C$10)</f>
        <v>-0.05</v>
      </c>
      <c r="J49" s="14" cm="1">
        <f t="array" ref="J49">INDEX(J51:J53,$C$10)</f>
        <v>0</v>
      </c>
      <c r="K49" s="14" cm="1">
        <f t="array" ref="K49">INDEX(K51:K53,$C$10)</f>
        <v>0.02</v>
      </c>
    </row>
    <row r="51" spans="2:14" x14ac:dyDescent="0.2">
      <c r="B51" s="6" t="str">
        <f>B16</f>
        <v>Best Case</v>
      </c>
      <c r="G51" s="21">
        <v>-0.28699999999999998</v>
      </c>
      <c r="H51" s="21">
        <v>-0.03</v>
      </c>
      <c r="I51" s="21">
        <v>-0.03</v>
      </c>
      <c r="J51" s="21">
        <v>0.02</v>
      </c>
      <c r="K51" s="21">
        <v>0.04</v>
      </c>
    </row>
    <row r="52" spans="2:14" x14ac:dyDescent="0.2">
      <c r="B52" s="6" t="str">
        <f>B17</f>
        <v>Base Case</v>
      </c>
      <c r="G52" s="21">
        <v>-0.307</v>
      </c>
      <c r="H52" s="21">
        <v>-0.05</v>
      </c>
      <c r="I52" s="21">
        <v>-0.05</v>
      </c>
      <c r="J52" s="21">
        <v>0</v>
      </c>
      <c r="K52" s="21">
        <v>0.02</v>
      </c>
    </row>
    <row r="53" spans="2:14" x14ac:dyDescent="0.2">
      <c r="B53" s="6" t="str">
        <f>B18</f>
        <v>Worst Case</v>
      </c>
      <c r="G53" s="21">
        <v>-0.32700000000000001</v>
      </c>
      <c r="H53" s="21">
        <v>-7.0000000000000007E-2</v>
      </c>
      <c r="I53" s="21">
        <v>-7.0000000000000007E-2</v>
      </c>
      <c r="J53" s="21">
        <v>-0.02</v>
      </c>
      <c r="K53" s="21">
        <v>0</v>
      </c>
    </row>
    <row r="54" spans="2:14" x14ac:dyDescent="0.2">
      <c r="N54" s="6" t="s">
        <v>72</v>
      </c>
    </row>
    <row r="56" spans="2:14" x14ac:dyDescent="0.2">
      <c r="B56" s="7" t="s">
        <v>73</v>
      </c>
    </row>
    <row r="58" spans="2:14" x14ac:dyDescent="0.2">
      <c r="B58" s="6" t="s">
        <v>74</v>
      </c>
      <c r="D58" s="14">
        <f>Model!D21/Model!D18</f>
        <v>0.44560180678322497</v>
      </c>
      <c r="E58" s="14">
        <f>Model!E21/Model!E18</f>
        <v>0.42734673605562634</v>
      </c>
      <c r="F58" s="14">
        <f>Model!F21/Model!F18</f>
        <v>0.42913487650329757</v>
      </c>
      <c r="G58" s="14" cm="1">
        <f t="array" ref="G58">INDEX(G60:G62,$C$10)</f>
        <v>0.435</v>
      </c>
      <c r="H58" s="14" cm="1">
        <f t="array" ref="H58">INDEX(H60:H62,$C$10)</f>
        <v>0.44</v>
      </c>
      <c r="I58" s="14" cm="1">
        <f t="array" ref="I58">INDEX(I60:I62,$C$10)</f>
        <v>0.443</v>
      </c>
      <c r="J58" s="14" cm="1">
        <f t="array" ref="J58">INDEX(J60:J62,$C$10)</f>
        <v>0.44500000000000001</v>
      </c>
      <c r="K58" s="14" cm="1">
        <f t="array" ref="K58">INDEX(K60:K62,$C$10)</f>
        <v>0.44700000000000001</v>
      </c>
    </row>
    <row r="60" spans="2:14" x14ac:dyDescent="0.2">
      <c r="B60" s="6" t="str">
        <f>B16</f>
        <v>Best Case</v>
      </c>
      <c r="G60" s="21">
        <v>0.44500000000000001</v>
      </c>
      <c r="H60" s="21">
        <v>0.45</v>
      </c>
      <c r="I60" s="21">
        <v>0.45300000000000001</v>
      </c>
      <c r="J60" s="21">
        <v>0.45500000000000002</v>
      </c>
      <c r="K60" s="21">
        <v>0.45700000000000002</v>
      </c>
    </row>
    <row r="61" spans="2:14" x14ac:dyDescent="0.2">
      <c r="B61" s="6" t="str">
        <f>B17</f>
        <v>Base Case</v>
      </c>
      <c r="G61" s="21">
        <v>0.435</v>
      </c>
      <c r="H61" s="21">
        <v>0.44</v>
      </c>
      <c r="I61" s="21">
        <v>0.443</v>
      </c>
      <c r="J61" s="21">
        <v>0.44500000000000001</v>
      </c>
      <c r="K61" s="21">
        <v>0.44700000000000001</v>
      </c>
    </row>
    <row r="62" spans="2:14" x14ac:dyDescent="0.2">
      <c r="B62" s="6" t="str">
        <f>B18</f>
        <v>Worst Case</v>
      </c>
      <c r="G62" s="21">
        <v>0.42499999999999999</v>
      </c>
      <c r="H62" s="21">
        <v>0.43</v>
      </c>
      <c r="I62" s="21">
        <v>0.433</v>
      </c>
      <c r="J62" s="21">
        <v>0.435</v>
      </c>
      <c r="K62" s="21">
        <v>0.437</v>
      </c>
    </row>
    <row r="65" spans="2:14" x14ac:dyDescent="0.2">
      <c r="B65" s="6" t="s">
        <v>75</v>
      </c>
      <c r="D65" s="14">
        <f>-Model!D23/Model!D18</f>
        <v>8.3427436626299603E-2</v>
      </c>
      <c r="E65" s="14">
        <f>-Model!E23/Model!E18</f>
        <v>0.10125461573344274</v>
      </c>
      <c r="F65" s="14">
        <f>-Model!F23/Model!F18</f>
        <v>0.10246131298762878</v>
      </c>
      <c r="G65" s="21">
        <v>0.10100000000000001</v>
      </c>
      <c r="H65" s="21">
        <v>0.10100000000000001</v>
      </c>
      <c r="I65" s="21">
        <v>0.10100000000000001</v>
      </c>
      <c r="J65" s="21">
        <v>0.10100000000000001</v>
      </c>
      <c r="K65" s="21">
        <v>0.10100000000000001</v>
      </c>
    </row>
    <row r="66" spans="2:14" x14ac:dyDescent="0.2">
      <c r="B66" s="6" t="s">
        <v>76</v>
      </c>
      <c r="D66" s="14">
        <f>-Model!D24/Model!D18</f>
        <v>0.23930142907207663</v>
      </c>
      <c r="E66" s="14">
        <f>-Model!E24/Model!E18</f>
        <v>0.24615085620505733</v>
      </c>
      <c r="F66" s="14">
        <f>-Model!F24/Model!F18</f>
        <v>0.24483813957498168</v>
      </c>
      <c r="G66" s="21">
        <v>0.23799999999999999</v>
      </c>
      <c r="H66" s="21">
        <v>0.23300000000000001</v>
      </c>
      <c r="I66" s="21">
        <v>0.22800000000000001</v>
      </c>
      <c r="J66" s="21">
        <v>0.223</v>
      </c>
      <c r="K66" s="21">
        <v>0.218</v>
      </c>
    </row>
    <row r="67" spans="2:14" x14ac:dyDescent="0.2">
      <c r="B67" s="6" t="s">
        <v>77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</row>
    <row r="68" spans="2:14" x14ac:dyDescent="0.2">
      <c r="N68" s="6" t="s">
        <v>78</v>
      </c>
    </row>
    <row r="70" spans="2:14" x14ac:dyDescent="0.2">
      <c r="B70" s="7" t="s">
        <v>79</v>
      </c>
    </row>
    <row r="72" spans="2:14" x14ac:dyDescent="0.2">
      <c r="B72" s="6" t="s">
        <v>80</v>
      </c>
      <c r="C72" s="4" t="s">
        <v>81</v>
      </c>
      <c r="D72" s="22">
        <f>Model!D46/Model!D18*D7</f>
        <v>31.460126163311397</v>
      </c>
      <c r="E72" s="22">
        <f>Model!E46/Model!E18*E7</f>
        <v>37.178626184974839</v>
      </c>
      <c r="F72" s="22">
        <f>Model!F46/Model!F18*F7</f>
        <v>46.657506789085737</v>
      </c>
      <c r="G72" s="23">
        <v>46.7</v>
      </c>
      <c r="H72" s="23">
        <v>45</v>
      </c>
      <c r="I72" s="23">
        <v>45</v>
      </c>
      <c r="J72" s="23">
        <v>45</v>
      </c>
      <c r="K72" s="23">
        <v>45</v>
      </c>
    </row>
    <row r="73" spans="2:14" x14ac:dyDescent="0.2">
      <c r="B73" s="6" t="s">
        <v>82</v>
      </c>
      <c r="C73" s="4" t="s">
        <v>81</v>
      </c>
      <c r="D73" s="22">
        <f>Model!D47/-Model!D20*D7</f>
        <v>96.380509218612829</v>
      </c>
      <c r="E73" s="22">
        <f>Model!E47/-Model!E20*E7</f>
        <v>103.07647347185038</v>
      </c>
      <c r="F73" s="22">
        <f>Model!F47/-Model!F20*F7</f>
        <v>103.36636840714313</v>
      </c>
      <c r="G73" s="23">
        <v>97</v>
      </c>
      <c r="H73" s="23">
        <v>96</v>
      </c>
      <c r="I73" s="23">
        <v>95</v>
      </c>
      <c r="J73" s="23">
        <v>95</v>
      </c>
      <c r="K73" s="23">
        <v>95</v>
      </c>
    </row>
    <row r="74" spans="2:14" x14ac:dyDescent="0.2">
      <c r="B74" s="6" t="s">
        <v>83</v>
      </c>
      <c r="C74" s="4" t="s">
        <v>81</v>
      </c>
      <c r="D74" s="22">
        <f>Model!D58/-Model!D20*D7</f>
        <v>36.621773485513607</v>
      </c>
      <c r="E74" s="22">
        <f>Model!E58/-Model!E20*E7</f>
        <v>47.883969983785214</v>
      </c>
      <c r="F74" s="22">
        <f>Model!F58/-Model!F20*F7</f>
        <v>49.60924226979273</v>
      </c>
      <c r="G74" s="23">
        <v>46.5</v>
      </c>
      <c r="H74" s="23">
        <v>47.5</v>
      </c>
      <c r="I74" s="23">
        <v>48</v>
      </c>
      <c r="J74" s="23">
        <v>48</v>
      </c>
      <c r="K74" s="23">
        <v>48</v>
      </c>
    </row>
    <row r="75" spans="2:14" x14ac:dyDescent="0.2">
      <c r="N75" s="6" t="s">
        <v>84</v>
      </c>
    </row>
    <row r="77" spans="2:14" x14ac:dyDescent="0.2">
      <c r="B77" s="7" t="s">
        <v>85</v>
      </c>
    </row>
    <row r="79" spans="2:14" x14ac:dyDescent="0.2">
      <c r="B79" s="6" t="s">
        <v>86</v>
      </c>
      <c r="D79" s="14">
        <f>-Model!D141/Model!D18</f>
        <v>1.5809353218332621E-2</v>
      </c>
      <c r="E79" s="14">
        <f>-Model!E141/Model!E18</f>
        <v>9.2854520719514565E-3</v>
      </c>
      <c r="F79" s="14">
        <f>-Model!F141/Model!F18</f>
        <v>1.4742014742014743E-2</v>
      </c>
      <c r="G79" s="14" cm="1">
        <f t="array" ref="G79">INDEX(G81:G83,$C$10)</f>
        <v>1.6E-2</v>
      </c>
      <c r="H79" s="14" cm="1">
        <f t="array" ref="H79">INDEX(H81:H83,$C$10)</f>
        <v>1.7000000000000001E-2</v>
      </c>
      <c r="I79" s="14" cm="1">
        <f t="array" ref="I79">INDEX(I81:I83,$C$10)</f>
        <v>1.7000000000000001E-2</v>
      </c>
      <c r="J79" s="14" cm="1">
        <f t="array" ref="J79">INDEX(J81:J83,$C$10)</f>
        <v>1.7000000000000001E-2</v>
      </c>
      <c r="K79" s="14" cm="1">
        <f t="array" ref="K79">INDEX(K81:K83,$C$10)</f>
        <v>1.7000000000000001E-2</v>
      </c>
    </row>
    <row r="81" spans="2:11" x14ac:dyDescent="0.2">
      <c r="B81" s="6" t="str">
        <f>B16</f>
        <v>Best Case</v>
      </c>
      <c r="G81" s="21">
        <v>1.2999999999999999E-2</v>
      </c>
      <c r="H81" s="21">
        <v>1.4E-2</v>
      </c>
      <c r="I81" s="21">
        <v>1.4E-2</v>
      </c>
      <c r="J81" s="21">
        <v>1.4E-2</v>
      </c>
      <c r="K81" s="21">
        <v>1.4E-2</v>
      </c>
    </row>
    <row r="82" spans="2:11" x14ac:dyDescent="0.2">
      <c r="B82" s="6" t="str">
        <f>B17</f>
        <v>Base Case</v>
      </c>
      <c r="G82" s="21">
        <v>1.6E-2</v>
      </c>
      <c r="H82" s="21">
        <v>1.7000000000000001E-2</v>
      </c>
      <c r="I82" s="21">
        <v>1.7000000000000001E-2</v>
      </c>
      <c r="J82" s="21">
        <v>1.7000000000000001E-2</v>
      </c>
      <c r="K82" s="21">
        <v>1.7000000000000001E-2</v>
      </c>
    </row>
    <row r="83" spans="2:11" x14ac:dyDescent="0.2">
      <c r="B83" s="6" t="str">
        <f>B18</f>
        <v>Worst Case</v>
      </c>
      <c r="G83" s="21">
        <v>0.02</v>
      </c>
      <c r="H83" s="21">
        <v>2.1000000000000001E-2</v>
      </c>
      <c r="I83" s="21">
        <v>2.1000000000000001E-2</v>
      </c>
      <c r="J83" s="21">
        <v>2.1000000000000001E-2</v>
      </c>
      <c r="K83" s="21">
        <v>2.1000000000000001E-2</v>
      </c>
    </row>
    <row r="86" spans="2:11" x14ac:dyDescent="0.2">
      <c r="B86" s="6" t="s">
        <v>87</v>
      </c>
      <c r="D86" s="14">
        <f>-Model!D142/Model!D18</f>
        <v>1.5497838869202913E-2</v>
      </c>
      <c r="E86" s="14">
        <f>-Model!E142/Model!E18</f>
        <v>1.6735407804098556E-2</v>
      </c>
      <c r="F86" s="14">
        <f>-Model!F142/Model!F18</f>
        <v>1.6099831889305572E-2</v>
      </c>
      <c r="G86" s="21">
        <v>1.7000000000000001E-2</v>
      </c>
      <c r="H86" s="21">
        <v>1.7000000000000001E-2</v>
      </c>
      <c r="I86" s="21">
        <v>1.7000000000000001E-2</v>
      </c>
      <c r="J86" s="21">
        <v>1.7000000000000001E-2</v>
      </c>
      <c r="K86" s="21">
        <v>1.7000000000000001E-2</v>
      </c>
    </row>
    <row r="87" spans="2:11" x14ac:dyDescent="0.2">
      <c r="B87" s="6" t="s">
        <v>88</v>
      </c>
      <c r="D87" s="14">
        <f>-Model!D33/Model!D31</f>
        <v>0.14925373134328357</v>
      </c>
      <c r="E87" s="14">
        <f>-Model!E33/Model!E31</f>
        <v>0.17142857142857143</v>
      </c>
      <c r="F87" s="14">
        <f>-Model!F33/Model!F31</f>
        <v>0.20307692307692307</v>
      </c>
      <c r="G87" s="21">
        <v>0.22</v>
      </c>
      <c r="H87" s="21">
        <v>0.23</v>
      </c>
      <c r="I87" s="21">
        <v>0.24</v>
      </c>
      <c r="J87" s="21">
        <v>0.24</v>
      </c>
      <c r="K87" s="21">
        <v>0.24</v>
      </c>
    </row>
    <row r="89" spans="2:11" x14ac:dyDescent="0.2">
      <c r="B89" s="7" t="s">
        <v>89</v>
      </c>
    </row>
    <row r="91" spans="2:11" x14ac:dyDescent="0.2">
      <c r="B91" s="6" t="s">
        <v>90</v>
      </c>
      <c r="G91" s="19">
        <v>-2000</v>
      </c>
      <c r="H91" s="19">
        <v>0</v>
      </c>
      <c r="I91" s="19">
        <v>0</v>
      </c>
      <c r="J91" s="19">
        <v>0</v>
      </c>
      <c r="K91" s="19">
        <v>0</v>
      </c>
    </row>
    <row r="92" spans="2:11" x14ac:dyDescent="0.2">
      <c r="B92" s="6" t="s">
        <v>91</v>
      </c>
      <c r="G92" s="21">
        <v>5.1999999999999998E-2</v>
      </c>
      <c r="H92" s="21">
        <v>5.1999999999999998E-2</v>
      </c>
      <c r="I92" s="21">
        <v>5.1999999999999998E-2</v>
      </c>
      <c r="J92" s="21">
        <v>5.1999999999999998E-2</v>
      </c>
      <c r="K92" s="21">
        <v>5.1999999999999998E-2</v>
      </c>
    </row>
    <row r="93" spans="2:11" x14ac:dyDescent="0.2">
      <c r="B93" s="6" t="s">
        <v>92</v>
      </c>
      <c r="G93" s="21">
        <v>6.2E-2</v>
      </c>
      <c r="H93" s="21">
        <v>6.2E-2</v>
      </c>
      <c r="I93" s="21">
        <v>6.2E-2</v>
      </c>
      <c r="J93" s="21">
        <v>6.2E-2</v>
      </c>
      <c r="K93" s="21">
        <v>6.2E-2</v>
      </c>
    </row>
    <row r="94" spans="2:11" x14ac:dyDescent="0.2">
      <c r="B94" s="6" t="s">
        <v>93</v>
      </c>
      <c r="G94" s="19">
        <v>3000</v>
      </c>
      <c r="H94" s="19">
        <v>3000</v>
      </c>
      <c r="I94" s="19">
        <v>3000</v>
      </c>
      <c r="J94" s="19">
        <v>3000</v>
      </c>
      <c r="K94" s="19">
        <v>3000</v>
      </c>
    </row>
    <row r="95" spans="2:11" x14ac:dyDescent="0.2">
      <c r="B95" s="6" t="s">
        <v>94</v>
      </c>
      <c r="G95" s="21">
        <v>0.04</v>
      </c>
      <c r="H95" s="21">
        <v>0.04</v>
      </c>
      <c r="I95" s="21">
        <v>0.04</v>
      </c>
      <c r="J95" s="21">
        <v>0.04</v>
      </c>
      <c r="K95" s="21">
        <v>0.04</v>
      </c>
    </row>
    <row r="96" spans="2:11" x14ac:dyDescent="0.2">
      <c r="B96" s="6" t="s">
        <v>95</v>
      </c>
      <c r="G96" s="21">
        <v>0.03</v>
      </c>
      <c r="H96" s="21">
        <v>0.03</v>
      </c>
      <c r="I96" s="21">
        <v>0.03</v>
      </c>
      <c r="J96" s="21">
        <v>0.03</v>
      </c>
      <c r="K96" s="21">
        <v>0.03</v>
      </c>
    </row>
    <row r="97" spans="2:14" x14ac:dyDescent="0.2">
      <c r="B97" s="6" t="s">
        <v>96</v>
      </c>
      <c r="G97" s="21">
        <v>1.6E-2</v>
      </c>
      <c r="H97" s="21">
        <v>1.6E-2</v>
      </c>
      <c r="I97" s="21">
        <v>1.6E-2</v>
      </c>
      <c r="J97" s="21">
        <v>1.6E-2</v>
      </c>
      <c r="K97" s="21">
        <v>1.6E-2</v>
      </c>
    </row>
    <row r="98" spans="2:14" x14ac:dyDescent="0.2">
      <c r="B98" s="6" t="s">
        <v>97</v>
      </c>
      <c r="G98" s="21">
        <v>0.5</v>
      </c>
      <c r="H98" s="21">
        <v>0.5</v>
      </c>
      <c r="I98" s="21">
        <v>0.5</v>
      </c>
      <c r="J98" s="21">
        <v>0.5</v>
      </c>
      <c r="K98" s="21">
        <v>0.5</v>
      </c>
    </row>
    <row r="99" spans="2:14" x14ac:dyDescent="0.2">
      <c r="B99" s="6" t="s">
        <v>98</v>
      </c>
      <c r="G99" s="21">
        <v>1.4999999999999999E-2</v>
      </c>
      <c r="H99" s="21">
        <v>1.4999999999999999E-2</v>
      </c>
      <c r="I99" s="21">
        <v>1.4999999999999999E-2</v>
      </c>
      <c r="J99" s="21">
        <v>1.4999999999999999E-2</v>
      </c>
      <c r="K99" s="21">
        <v>1.4999999999999999E-2</v>
      </c>
    </row>
    <row r="100" spans="2:14" x14ac:dyDescent="0.2">
      <c r="N100" s="6" t="s">
        <v>99</v>
      </c>
    </row>
    <row r="102" spans="2:14" x14ac:dyDescent="0.2">
      <c r="B102" s="7" t="s">
        <v>100</v>
      </c>
    </row>
    <row r="104" spans="2:14" x14ac:dyDescent="0.2">
      <c r="B104" s="6" t="s">
        <v>101</v>
      </c>
      <c r="F104" s="24">
        <v>4.7300000000000002E-2</v>
      </c>
    </row>
    <row r="105" spans="2:14" x14ac:dyDescent="0.2">
      <c r="B105" s="6" t="s">
        <v>102</v>
      </c>
      <c r="F105" s="24">
        <v>4.2299999999999997E-2</v>
      </c>
    </row>
    <row r="106" spans="2:14" x14ac:dyDescent="0.2">
      <c r="B106" s="6" t="s">
        <v>103</v>
      </c>
      <c r="F106" s="25">
        <v>1.1200000000000001</v>
      </c>
    </row>
    <row r="107" spans="2:14" x14ac:dyDescent="0.2">
      <c r="B107" s="7" t="s">
        <v>104</v>
      </c>
      <c r="F107" s="26">
        <f>F104+F106*F105</f>
        <v>9.467600000000001E-2</v>
      </c>
    </row>
    <row r="108" spans="2:14" x14ac:dyDescent="0.2">
      <c r="B108" s="6" t="s">
        <v>105</v>
      </c>
      <c r="F108" s="24">
        <v>5.2999999999999999E-2</v>
      </c>
    </row>
    <row r="109" spans="2:14" x14ac:dyDescent="0.2">
      <c r="B109" s="6" t="s">
        <v>106</v>
      </c>
      <c r="F109" s="21">
        <v>0.24</v>
      </c>
    </row>
    <row r="110" spans="2:14" x14ac:dyDescent="0.2">
      <c r="B110" s="7" t="s">
        <v>107</v>
      </c>
      <c r="F110" s="26">
        <f>F108*(1-F109)</f>
        <v>4.0279999999999996E-2</v>
      </c>
    </row>
    <row r="111" spans="2:14" x14ac:dyDescent="0.2">
      <c r="B111" s="6" t="s">
        <v>108</v>
      </c>
      <c r="F111" s="19">
        <v>7942</v>
      </c>
    </row>
    <row r="112" spans="2:14" x14ac:dyDescent="0.2">
      <c r="B112" s="7" t="s">
        <v>109</v>
      </c>
      <c r="F112" s="27">
        <f>F119*F120</f>
        <v>58647.6</v>
      </c>
    </row>
    <row r="113" spans="2:6" x14ac:dyDescent="0.2">
      <c r="B113" s="7" t="s">
        <v>110</v>
      </c>
      <c r="F113" s="27">
        <f>F111+F112</f>
        <v>66589.600000000006</v>
      </c>
    </row>
    <row r="114" spans="2:6" x14ac:dyDescent="0.2">
      <c r="B114" s="7" t="s">
        <v>111</v>
      </c>
      <c r="F114" s="28">
        <f>F111/F113</f>
        <v>0.11926787366195321</v>
      </c>
    </row>
    <row r="115" spans="2:6" x14ac:dyDescent="0.2">
      <c r="B115" s="7" t="s">
        <v>112</v>
      </c>
      <c r="F115" s="28">
        <f>F112/F113</f>
        <v>0.88073212633804665</v>
      </c>
    </row>
    <row r="116" spans="2:6" x14ac:dyDescent="0.2">
      <c r="B116" s="7" t="s">
        <v>50</v>
      </c>
      <c r="F116" s="26">
        <f>F115*F107+F114*F110</f>
        <v>8.8188304744284393E-2</v>
      </c>
    </row>
    <row r="117" spans="2:6" x14ac:dyDescent="0.2">
      <c r="B117" s="6" t="s">
        <v>113</v>
      </c>
      <c r="F117" s="21">
        <v>0.02</v>
      </c>
    </row>
    <row r="118" spans="2:6" x14ac:dyDescent="0.2">
      <c r="B118" s="6" t="s">
        <v>114</v>
      </c>
      <c r="F118" s="17">
        <f>Comps!O13</f>
        <v>10.505676354196723</v>
      </c>
    </row>
    <row r="119" spans="2:6" x14ac:dyDescent="0.2">
      <c r="B119" s="6" t="s">
        <v>115</v>
      </c>
      <c r="F119" s="29">
        <v>39.6</v>
      </c>
    </row>
    <row r="120" spans="2:6" x14ac:dyDescent="0.2">
      <c r="B120" s="6" t="s">
        <v>116</v>
      </c>
      <c r="F120" s="19">
        <v>1481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7" r:id="rId3" name="List Box 5">
              <controlPr defaultSize="0" autoLine="0" autoPict="0">
                <anchor moveWithCells="1">
                  <from>
                    <xdr:col>2</xdr:col>
                    <xdr:colOff>101600</xdr:colOff>
                    <xdr:row>8</xdr:row>
                    <xdr:rowOff>25400</xdr:rowOff>
                  </from>
                  <to>
                    <xdr:col>3</xdr:col>
                    <xdr:colOff>304800</xdr:colOff>
                    <xdr:row>11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187"/>
  <sheetViews>
    <sheetView showGridLines="0" zoomScaleNormal="100" workbookViewId="0">
      <pane ySplit="1" topLeftCell="A2" activePane="bottomLeft" state="frozen"/>
      <selection pane="bottomLeft" activeCell="K34" sqref="K34"/>
    </sheetView>
  </sheetViews>
  <sheetFormatPr baseColWidth="10" defaultColWidth="8.6640625" defaultRowHeight="15" outlineLevelRow="1" x14ac:dyDescent="0.2"/>
  <cols>
    <col min="1" max="1" width="9.1640625" customWidth="1"/>
    <col min="2" max="2" width="41" customWidth="1"/>
    <col min="3" max="3" width="13" customWidth="1"/>
    <col min="4" max="13" width="11" customWidth="1"/>
    <col min="14" max="14" width="34.5" customWidth="1"/>
    <col min="15" max="16" width="11" customWidth="1"/>
  </cols>
  <sheetData>
    <row r="3" spans="1:14" ht="20" x14ac:dyDescent="0.25">
      <c r="A3" s="8" t="s">
        <v>27</v>
      </c>
      <c r="B3" s="11" t="s">
        <v>117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outlineLevel="1" x14ac:dyDescent="0.2"/>
    <row r="5" spans="1:14" outlineLevel="1" x14ac:dyDescent="0.2">
      <c r="B5" s="6" t="s">
        <v>55</v>
      </c>
      <c r="D5" s="18" t="s">
        <v>56</v>
      </c>
      <c r="E5" s="18" t="s">
        <v>57</v>
      </c>
      <c r="F5" s="18" t="s">
        <v>39</v>
      </c>
      <c r="G5" s="18" t="s">
        <v>58</v>
      </c>
      <c r="H5" s="18" t="s">
        <v>59</v>
      </c>
      <c r="I5" s="18" t="s">
        <v>60</v>
      </c>
      <c r="J5" s="18" t="s">
        <v>61</v>
      </c>
      <c r="K5" s="18" t="s">
        <v>40</v>
      </c>
    </row>
    <row r="6" spans="1:14" outlineLevel="1" x14ac:dyDescent="0.2"/>
    <row r="7" spans="1:14" outlineLevel="1" x14ac:dyDescent="0.2">
      <c r="B7" s="7" t="s">
        <v>118</v>
      </c>
    </row>
    <row r="8" spans="1:14" outlineLevel="1" x14ac:dyDescent="0.2"/>
    <row r="9" spans="1:14" outlineLevel="1" x14ac:dyDescent="0.2">
      <c r="B9" s="6" t="s">
        <v>119</v>
      </c>
      <c r="D9" s="19">
        <v>21396</v>
      </c>
      <c r="E9" s="19">
        <v>19572</v>
      </c>
      <c r="F9" s="19">
        <v>20511</v>
      </c>
      <c r="G9" s="15">
        <f>F9*(1+Inputs!G14)</f>
        <v>21495.528000000002</v>
      </c>
      <c r="H9" s="15">
        <f>G9*(1+Inputs!H14)</f>
        <v>22355.349120000003</v>
      </c>
      <c r="I9" s="15">
        <f>H9*(1+Inputs!I14)</f>
        <v>23249.563084800004</v>
      </c>
      <c r="J9" s="15">
        <f>I9*(1+Inputs!J14)</f>
        <v>24133.046482022404</v>
      </c>
      <c r="K9" s="15">
        <f>J9*(1+Inputs!K14)</f>
        <v>25098.3683413033</v>
      </c>
    </row>
    <row r="10" spans="1:14" outlineLevel="1" x14ac:dyDescent="0.2">
      <c r="B10" s="6" t="s">
        <v>120</v>
      </c>
      <c r="D10" s="19">
        <v>13607</v>
      </c>
      <c r="E10" s="19">
        <v>12257</v>
      </c>
      <c r="F10" s="19">
        <v>12572</v>
      </c>
      <c r="G10" s="15">
        <f>F10*(1+Inputs!G21)</f>
        <v>12748.008</v>
      </c>
      <c r="H10" s="15">
        <f>G10*(1+Inputs!H21)</f>
        <v>13066.708199999999</v>
      </c>
      <c r="I10" s="15">
        <f>H10*(1+Inputs!I21)</f>
        <v>13393.375904999997</v>
      </c>
      <c r="J10" s="15">
        <f>I10*(1+Inputs!J21)</f>
        <v>13728.210302624995</v>
      </c>
      <c r="K10" s="15">
        <f>J10*(1+Inputs!K21)</f>
        <v>14071.415560190619</v>
      </c>
    </row>
    <row r="11" spans="1:14" outlineLevel="1" x14ac:dyDescent="0.2">
      <c r="B11" s="6" t="s">
        <v>121</v>
      </c>
      <c r="D11" s="19">
        <v>7545</v>
      </c>
      <c r="E11" s="19">
        <v>6586</v>
      </c>
      <c r="F11" s="19">
        <v>5847</v>
      </c>
      <c r="G11" s="15">
        <f>F11*(1+Inputs!G28)</f>
        <v>5098.5839999999998</v>
      </c>
      <c r="H11" s="15">
        <f>G11*(1+Inputs!H28)</f>
        <v>5149.5698400000001</v>
      </c>
      <c r="I11" s="15">
        <f>H11*(1+Inputs!I28)</f>
        <v>5201.0655384000002</v>
      </c>
      <c r="J11" s="15">
        <f>I11*(1+Inputs!J28)</f>
        <v>5253.0761937839998</v>
      </c>
      <c r="K11" s="15">
        <f>J11*(1+Inputs!K28)</f>
        <v>5358.1377176596798</v>
      </c>
    </row>
    <row r="12" spans="1:14" outlineLevel="1" x14ac:dyDescent="0.2">
      <c r="B12" s="6" t="s">
        <v>122</v>
      </c>
      <c r="D12" s="19">
        <v>6729</v>
      </c>
      <c r="E12" s="19">
        <v>6251</v>
      </c>
      <c r="F12" s="19">
        <v>6243</v>
      </c>
      <c r="G12" s="15">
        <f>F12*(1+Inputs!G35)</f>
        <v>6236.7569999999996</v>
      </c>
      <c r="H12" s="15">
        <f>G12*(1+Inputs!H35)</f>
        <v>6423.8597099999997</v>
      </c>
      <c r="I12" s="15">
        <f>H12*(1+Inputs!I35)</f>
        <v>6616.5755012999998</v>
      </c>
      <c r="J12" s="15">
        <f>I12*(1+Inputs!J35)</f>
        <v>6848.1556438454991</v>
      </c>
      <c r="K12" s="15">
        <f>J12*(1+Inputs!K35)</f>
        <v>7087.8410913800908</v>
      </c>
    </row>
    <row r="13" spans="1:14" outlineLevel="1" x14ac:dyDescent="0.2">
      <c r="B13" s="6" t="s">
        <v>123</v>
      </c>
      <c r="D13" s="19">
        <v>45</v>
      </c>
      <c r="E13" s="19">
        <v>48</v>
      </c>
      <c r="F13" s="19">
        <v>49</v>
      </c>
      <c r="G13" s="15">
        <f>F13*(1+Inputs!G42)</f>
        <v>49.980000000000004</v>
      </c>
      <c r="H13" s="15">
        <f>G13*(1+Inputs!H42)</f>
        <v>50.979600000000005</v>
      </c>
      <c r="I13" s="15">
        <f>H13*(1+Inputs!I42)</f>
        <v>51.999192000000008</v>
      </c>
      <c r="J13" s="15">
        <f>I13*(1+Inputs!J42)</f>
        <v>53.039175840000006</v>
      </c>
      <c r="K13" s="15">
        <f>J13*(1+Inputs!K42)</f>
        <v>54.099959356800007</v>
      </c>
    </row>
    <row r="14" spans="1:14" outlineLevel="1" x14ac:dyDescent="0.2">
      <c r="B14" s="7" t="s">
        <v>124</v>
      </c>
      <c r="D14" s="27">
        <f t="shared" ref="D14:K14" si="0">SUM(D9:D13)</f>
        <v>49322</v>
      </c>
      <c r="E14" s="27">
        <f t="shared" si="0"/>
        <v>44714</v>
      </c>
      <c r="F14" s="27">
        <f t="shared" si="0"/>
        <v>45222</v>
      </c>
      <c r="G14" s="27">
        <f t="shared" si="0"/>
        <v>45628.857000000004</v>
      </c>
      <c r="H14" s="27">
        <f t="shared" si="0"/>
        <v>47046.466469999999</v>
      </c>
      <c r="I14" s="27">
        <f t="shared" si="0"/>
        <v>48512.579221500004</v>
      </c>
      <c r="J14" s="27">
        <f t="shared" si="0"/>
        <v>50015.527798116898</v>
      </c>
      <c r="K14" s="27">
        <f t="shared" si="0"/>
        <v>51669.862669890485</v>
      </c>
    </row>
    <row r="15" spans="1:14" outlineLevel="1" x14ac:dyDescent="0.2"/>
    <row r="16" spans="1:14" outlineLevel="1" x14ac:dyDescent="0.2">
      <c r="B16" s="6" t="s">
        <v>125</v>
      </c>
      <c r="D16" s="19">
        <v>2082</v>
      </c>
      <c r="E16" s="19">
        <v>1692</v>
      </c>
      <c r="F16" s="19">
        <v>1174</v>
      </c>
      <c r="G16" s="15">
        <f>F16*(1+Inputs!G49)</f>
        <v>813.58200000000011</v>
      </c>
      <c r="H16" s="15">
        <f>G16*(1+Inputs!H49)</f>
        <v>772.90290000000005</v>
      </c>
      <c r="I16" s="15">
        <f>H16*(1+Inputs!I49)</f>
        <v>734.25775499999997</v>
      </c>
      <c r="J16" s="15">
        <f>I16*(1+Inputs!J49)</f>
        <v>734.25775499999997</v>
      </c>
      <c r="K16" s="15">
        <f>J16*(1+Inputs!K49)</f>
        <v>748.94291009999995</v>
      </c>
    </row>
    <row r="17" spans="2:11" outlineLevel="1" x14ac:dyDescent="0.2">
      <c r="B17" s="6" t="s">
        <v>126</v>
      </c>
      <c r="D17" s="19">
        <v>-42</v>
      </c>
      <c r="E17" s="19">
        <v>-97</v>
      </c>
      <c r="F17" s="19">
        <v>2</v>
      </c>
      <c r="G17" s="15">
        <f>F17</f>
        <v>2</v>
      </c>
      <c r="H17" s="15">
        <f>G17</f>
        <v>2</v>
      </c>
      <c r="I17" s="15">
        <f>H17</f>
        <v>2</v>
      </c>
      <c r="J17" s="15">
        <f>I17</f>
        <v>2</v>
      </c>
      <c r="K17" s="15">
        <f>J17</f>
        <v>2</v>
      </c>
    </row>
    <row r="18" spans="2:11" outlineLevel="1" x14ac:dyDescent="0.2">
      <c r="B18" s="7" t="s">
        <v>127</v>
      </c>
      <c r="D18" s="27">
        <f t="shared" ref="D18:K18" si="1">D14+D16+D17</f>
        <v>51362</v>
      </c>
      <c r="E18" s="27">
        <f t="shared" si="1"/>
        <v>46309</v>
      </c>
      <c r="F18" s="27">
        <f t="shared" si="1"/>
        <v>46398</v>
      </c>
      <c r="G18" s="27">
        <f t="shared" si="1"/>
        <v>46444.439000000006</v>
      </c>
      <c r="H18" s="27">
        <f t="shared" si="1"/>
        <v>47821.36937</v>
      </c>
      <c r="I18" s="27">
        <f t="shared" si="1"/>
        <v>49248.836976500002</v>
      </c>
      <c r="J18" s="27">
        <f t="shared" si="1"/>
        <v>50751.785553116897</v>
      </c>
      <c r="K18" s="27">
        <f t="shared" si="1"/>
        <v>52420.805579990483</v>
      </c>
    </row>
    <row r="19" spans="2:11" outlineLevel="1" x14ac:dyDescent="0.2"/>
    <row r="20" spans="2:11" outlineLevel="1" x14ac:dyDescent="0.2">
      <c r="B20" s="6" t="s">
        <v>128</v>
      </c>
      <c r="D20" s="19">
        <v>-28475</v>
      </c>
      <c r="E20" s="19">
        <v>-26519</v>
      </c>
      <c r="F20" s="19">
        <v>-26487</v>
      </c>
      <c r="G20" s="15">
        <f>-G18*(1-Inputs!G58)</f>
        <v>-26241.108035000001</v>
      </c>
      <c r="H20" s="15">
        <f>-H18*(1-Inputs!H58)</f>
        <v>-26779.966847200001</v>
      </c>
      <c r="I20" s="15">
        <f>-I18*(1-Inputs!I58)</f>
        <v>-27431.602195910498</v>
      </c>
      <c r="J20" s="15">
        <f>-J18*(1-Inputs!J58)</f>
        <v>-28167.240981979874</v>
      </c>
      <c r="K20" s="15">
        <f>-K18*(1-Inputs!K58)</f>
        <v>-28988.705485734732</v>
      </c>
    </row>
    <row r="21" spans="2:11" outlineLevel="1" x14ac:dyDescent="0.2">
      <c r="B21" s="7" t="s">
        <v>129</v>
      </c>
      <c r="D21" s="27">
        <f t="shared" ref="D21:K21" si="2">D18+D20</f>
        <v>22887</v>
      </c>
      <c r="E21" s="27">
        <f t="shared" si="2"/>
        <v>19790</v>
      </c>
      <c r="F21" s="27">
        <f t="shared" si="2"/>
        <v>19911</v>
      </c>
      <c r="G21" s="27">
        <f t="shared" si="2"/>
        <v>20203.330965000005</v>
      </c>
      <c r="H21" s="27">
        <f t="shared" si="2"/>
        <v>21041.402522799999</v>
      </c>
      <c r="I21" s="27">
        <f t="shared" si="2"/>
        <v>21817.234780589504</v>
      </c>
      <c r="J21" s="27">
        <f t="shared" si="2"/>
        <v>22584.544571137023</v>
      </c>
      <c r="K21" s="27">
        <f t="shared" si="2"/>
        <v>23432.100094255751</v>
      </c>
    </row>
    <row r="22" spans="2:11" outlineLevel="1" x14ac:dyDescent="0.2"/>
    <row r="23" spans="2:11" outlineLevel="1" x14ac:dyDescent="0.2">
      <c r="B23" s="6" t="s">
        <v>130</v>
      </c>
      <c r="D23" s="19">
        <v>-4285</v>
      </c>
      <c r="E23" s="19">
        <v>-4689</v>
      </c>
      <c r="F23" s="19">
        <v>-4754</v>
      </c>
      <c r="G23" s="15">
        <f>-G18*Inputs!G65</f>
        <v>-4690.888339000001</v>
      </c>
      <c r="H23" s="15">
        <f>-H18*Inputs!H65</f>
        <v>-4829.9583063700002</v>
      </c>
      <c r="I23" s="15">
        <f>-I18*Inputs!I65</f>
        <v>-4974.1325346265003</v>
      </c>
      <c r="J23" s="15">
        <f>-J18*Inputs!J65</f>
        <v>-5125.9303408648066</v>
      </c>
      <c r="K23" s="15">
        <f>-K18*Inputs!K65</f>
        <v>-5294.5013635790392</v>
      </c>
    </row>
    <row r="24" spans="2:11" outlineLevel="1" x14ac:dyDescent="0.2">
      <c r="B24" s="6" t="s">
        <v>131</v>
      </c>
      <c r="D24" s="19">
        <v>-12291</v>
      </c>
      <c r="E24" s="19">
        <v>-11399</v>
      </c>
      <c r="F24" s="19">
        <v>-11360</v>
      </c>
      <c r="G24" s="15">
        <f>-G18*Inputs!G66</f>
        <v>-11053.776482000001</v>
      </c>
      <c r="H24" s="15">
        <f>-H18*Inputs!H66</f>
        <v>-11142.379063210001</v>
      </c>
      <c r="I24" s="15">
        <f>-I18*Inputs!I66</f>
        <v>-11228.734830642001</v>
      </c>
      <c r="J24" s="15">
        <f>-J18*Inputs!J66</f>
        <v>-11317.648178345069</v>
      </c>
      <c r="K24" s="15">
        <f>-K18*Inputs!K66</f>
        <v>-11427.735616437925</v>
      </c>
    </row>
    <row r="25" spans="2:11" outlineLevel="1" x14ac:dyDescent="0.2">
      <c r="B25" s="7" t="s">
        <v>132</v>
      </c>
      <c r="D25" s="27">
        <f t="shared" ref="D25:K25" si="3">SUM(D23:D24)</f>
        <v>-16576</v>
      </c>
      <c r="E25" s="27">
        <f t="shared" si="3"/>
        <v>-16088</v>
      </c>
      <c r="F25" s="27">
        <f t="shared" si="3"/>
        <v>-16114</v>
      </c>
      <c r="G25" s="27">
        <f t="shared" si="3"/>
        <v>-15744.664821000002</v>
      </c>
      <c r="H25" s="27">
        <f t="shared" si="3"/>
        <v>-15972.33736958</v>
      </c>
      <c r="I25" s="27">
        <f t="shared" si="3"/>
        <v>-16202.867365268501</v>
      </c>
      <c r="J25" s="27">
        <f t="shared" si="3"/>
        <v>-16443.578519209877</v>
      </c>
      <c r="K25" s="27">
        <f t="shared" si="3"/>
        <v>-16722.236980016965</v>
      </c>
    </row>
    <row r="26" spans="2:11" outlineLevel="1" x14ac:dyDescent="0.2"/>
    <row r="27" spans="2:11" outlineLevel="1" x14ac:dyDescent="0.2">
      <c r="B27" s="7" t="s">
        <v>133</v>
      </c>
      <c r="D27" s="27">
        <f t="shared" ref="D27:K27" si="4">D21+D25</f>
        <v>6311</v>
      </c>
      <c r="E27" s="27">
        <f t="shared" si="4"/>
        <v>3702</v>
      </c>
      <c r="F27" s="27">
        <f t="shared" si="4"/>
        <v>3797</v>
      </c>
      <c r="G27" s="27">
        <f t="shared" si="4"/>
        <v>4458.6661440000025</v>
      </c>
      <c r="H27" s="27">
        <f t="shared" si="4"/>
        <v>5069.065153219999</v>
      </c>
      <c r="I27" s="27">
        <f t="shared" si="4"/>
        <v>5614.3674153210031</v>
      </c>
      <c r="J27" s="27">
        <f t="shared" si="4"/>
        <v>6140.9660519271456</v>
      </c>
      <c r="K27" s="27">
        <f t="shared" si="4"/>
        <v>6709.8631142387858</v>
      </c>
    </row>
    <row r="28" spans="2:11" outlineLevel="1" x14ac:dyDescent="0.2"/>
    <row r="29" spans="2:11" outlineLevel="1" x14ac:dyDescent="0.2">
      <c r="B29" s="6" t="s">
        <v>134</v>
      </c>
      <c r="D29" s="19">
        <v>161</v>
      </c>
      <c r="E29" s="19">
        <v>107</v>
      </c>
      <c r="F29" s="19">
        <v>50</v>
      </c>
      <c r="G29" s="15">
        <f>G155+G164+G170</f>
        <v>-110.464</v>
      </c>
      <c r="H29" s="15">
        <f>H155+H164+H170</f>
        <v>-74.369195958805477</v>
      </c>
      <c r="I29" s="15">
        <f>I155+I164+I170</f>
        <v>-61.197607240630902</v>
      </c>
      <c r="J29" s="15">
        <f>J155+J164+J170</f>
        <v>-51.807985530501185</v>
      </c>
      <c r="K29" s="15">
        <f>K155+K164+K170</f>
        <v>-39.979467866855487</v>
      </c>
    </row>
    <row r="30" spans="2:11" outlineLevel="1" x14ac:dyDescent="0.2">
      <c r="B30" s="6" t="s">
        <v>135</v>
      </c>
      <c r="D30" s="19">
        <v>228</v>
      </c>
      <c r="E30" s="19">
        <v>76</v>
      </c>
      <c r="F30" s="19">
        <v>53</v>
      </c>
      <c r="G30" s="15">
        <f>G18*Inputs!G67</f>
        <v>0</v>
      </c>
      <c r="H30" s="15">
        <f>H18*Inputs!H67</f>
        <v>0</v>
      </c>
      <c r="I30" s="15">
        <f>I18*Inputs!I67</f>
        <v>0</v>
      </c>
      <c r="J30" s="15">
        <f>J18*Inputs!J67</f>
        <v>0</v>
      </c>
      <c r="K30" s="15">
        <f>K18*Inputs!K67</f>
        <v>0</v>
      </c>
    </row>
    <row r="31" spans="2:11" outlineLevel="1" x14ac:dyDescent="0.2">
      <c r="B31" s="7" t="s">
        <v>136</v>
      </c>
      <c r="D31" s="27">
        <f t="shared" ref="D31:K31" si="5">D27+D29+D30</f>
        <v>6700</v>
      </c>
      <c r="E31" s="27">
        <f t="shared" si="5"/>
        <v>3885</v>
      </c>
      <c r="F31" s="27">
        <f t="shared" si="5"/>
        <v>3900</v>
      </c>
      <c r="G31" s="27">
        <f t="shared" si="5"/>
        <v>4348.2021440000026</v>
      </c>
      <c r="H31" s="27">
        <f t="shared" si="5"/>
        <v>4994.6959572611931</v>
      </c>
      <c r="I31" s="27">
        <f t="shared" si="5"/>
        <v>5553.1698080803726</v>
      </c>
      <c r="J31" s="27">
        <f t="shared" si="5"/>
        <v>6089.1580663966442</v>
      </c>
      <c r="K31" s="27">
        <f t="shared" si="5"/>
        <v>6669.8836463719299</v>
      </c>
    </row>
    <row r="32" spans="2:11" outlineLevel="1" x14ac:dyDescent="0.2"/>
    <row r="33" spans="1:14" outlineLevel="1" x14ac:dyDescent="0.2">
      <c r="B33" s="6" t="s">
        <v>137</v>
      </c>
      <c r="D33" s="19">
        <v>-1000</v>
      </c>
      <c r="E33" s="19">
        <v>-666</v>
      </c>
      <c r="F33" s="19">
        <v>-792</v>
      </c>
      <c r="G33" s="15">
        <f>-G31*Inputs!G87</f>
        <v>-956.60447168000053</v>
      </c>
      <c r="H33" s="15">
        <f>-H31*Inputs!H87</f>
        <v>-1148.7800701700744</v>
      </c>
      <c r="I33" s="15">
        <f>-I31*Inputs!I87</f>
        <v>-1332.7607539392893</v>
      </c>
      <c r="J33" s="15">
        <f>-J31*Inputs!J87</f>
        <v>-1461.3979359351945</v>
      </c>
      <c r="K33" s="15">
        <f>-K31*Inputs!K87</f>
        <v>-1600.7720751292632</v>
      </c>
    </row>
    <row r="34" spans="1:14" outlineLevel="1" x14ac:dyDescent="0.2">
      <c r="B34" s="7" t="s">
        <v>138</v>
      </c>
      <c r="D34" s="27">
        <f t="shared" ref="D34:K34" si="6">D31+D33</f>
        <v>5700</v>
      </c>
      <c r="E34" s="27">
        <f t="shared" si="6"/>
        <v>3219</v>
      </c>
      <c r="F34" s="27">
        <f t="shared" si="6"/>
        <v>3108</v>
      </c>
      <c r="G34" s="27">
        <f t="shared" si="6"/>
        <v>3391.5976723200019</v>
      </c>
      <c r="H34" s="27">
        <f t="shared" si="6"/>
        <v>3845.9158870911187</v>
      </c>
      <c r="I34" s="27">
        <f t="shared" si="6"/>
        <v>4220.4090541410833</v>
      </c>
      <c r="J34" s="27">
        <f t="shared" si="6"/>
        <v>4627.76013046145</v>
      </c>
      <c r="K34" s="27">
        <f t="shared" si="6"/>
        <v>5069.1115712426672</v>
      </c>
    </row>
    <row r="35" spans="1:14" outlineLevel="1" x14ac:dyDescent="0.2"/>
    <row r="36" spans="1:14" outlineLevel="1" x14ac:dyDescent="0.2">
      <c r="B36" s="6" t="s">
        <v>139</v>
      </c>
      <c r="C36" s="4" t="s">
        <v>140</v>
      </c>
      <c r="D36" s="15">
        <f t="shared" ref="D36:K36" si="7">D187</f>
        <v>1529.7</v>
      </c>
      <c r="E36" s="15">
        <f t="shared" si="7"/>
        <v>1487.6</v>
      </c>
      <c r="F36" s="15">
        <f t="shared" si="7"/>
        <v>1481</v>
      </c>
      <c r="G36" s="15">
        <f t="shared" si="7"/>
        <v>1458.7850000000001</v>
      </c>
      <c r="H36" s="15">
        <f t="shared" si="7"/>
        <v>1436.903225</v>
      </c>
      <c r="I36" s="15">
        <f t="shared" si="7"/>
        <v>1415.349676625</v>
      </c>
      <c r="J36" s="15">
        <f t="shared" si="7"/>
        <v>1394.1194314756251</v>
      </c>
      <c r="K36" s="15">
        <f t="shared" si="7"/>
        <v>1373.2076400034907</v>
      </c>
    </row>
    <row r="37" spans="1:14" outlineLevel="1" x14ac:dyDescent="0.2">
      <c r="B37" s="6" t="s">
        <v>141</v>
      </c>
      <c r="D37" s="13">
        <f t="shared" ref="D37:K37" si="8">D34/D36</f>
        <v>3.7262208276132576</v>
      </c>
      <c r="E37" s="13">
        <f t="shared" si="8"/>
        <v>2.1638881419736489</v>
      </c>
      <c r="F37" s="13">
        <f t="shared" si="8"/>
        <v>2.0985820391627277</v>
      </c>
      <c r="G37" s="13">
        <f t="shared" si="8"/>
        <v>2.324946906034818</v>
      </c>
      <c r="H37" s="13">
        <f t="shared" si="8"/>
        <v>2.6765309035277021</v>
      </c>
      <c r="I37" s="13">
        <f t="shared" si="8"/>
        <v>2.981884352568577</v>
      </c>
      <c r="J37" s="13">
        <f t="shared" si="8"/>
        <v>3.3194861401244031</v>
      </c>
      <c r="K37" s="13">
        <f t="shared" si="8"/>
        <v>3.6914385148845965</v>
      </c>
    </row>
    <row r="39" spans="1:14" ht="20" x14ac:dyDescent="0.25">
      <c r="A39" s="8" t="s">
        <v>27</v>
      </c>
      <c r="B39" s="11" t="s">
        <v>142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outlineLevel="1" x14ac:dyDescent="0.2"/>
    <row r="41" spans="1:14" outlineLevel="1" x14ac:dyDescent="0.2">
      <c r="B41" s="6" t="s">
        <v>55</v>
      </c>
      <c r="D41" s="18" t="s">
        <v>56</v>
      </c>
      <c r="E41" s="18" t="s">
        <v>57</v>
      </c>
      <c r="F41" s="18" t="s">
        <v>39</v>
      </c>
      <c r="G41" s="18" t="s">
        <v>58</v>
      </c>
      <c r="H41" s="18" t="s">
        <v>59</v>
      </c>
      <c r="I41" s="18" t="s">
        <v>60</v>
      </c>
      <c r="J41" s="18" t="s">
        <v>61</v>
      </c>
      <c r="K41" s="18" t="s">
        <v>40</v>
      </c>
    </row>
    <row r="42" spans="1:14" outlineLevel="1" x14ac:dyDescent="0.2"/>
    <row r="43" spans="1:14" outlineLevel="1" x14ac:dyDescent="0.2">
      <c r="B43" s="7" t="s">
        <v>143</v>
      </c>
    </row>
    <row r="44" spans="1:14" outlineLevel="1" x14ac:dyDescent="0.2">
      <c r="B44" s="6" t="s">
        <v>144</v>
      </c>
      <c r="D44" s="15">
        <f t="shared" ref="D44:K44" si="9">D115</f>
        <v>9860</v>
      </c>
      <c r="E44" s="15">
        <f t="shared" si="9"/>
        <v>7464</v>
      </c>
      <c r="F44" s="15">
        <f t="shared" si="9"/>
        <v>7563</v>
      </c>
      <c r="G44" s="15">
        <f t="shared" si="9"/>
        <v>5865.3701010298628</v>
      </c>
      <c r="H44" s="15">
        <f t="shared" si="9"/>
        <v>6194.6598189842271</v>
      </c>
      <c r="I44" s="15">
        <f t="shared" si="9"/>
        <v>6429.4003617374692</v>
      </c>
      <c r="J44" s="15">
        <f t="shared" si="9"/>
        <v>6725.1133033286123</v>
      </c>
      <c r="K44" s="15">
        <f t="shared" si="9"/>
        <v>7199.5751525834548</v>
      </c>
    </row>
    <row r="45" spans="1:14" outlineLevel="1" x14ac:dyDescent="0.2">
      <c r="B45" s="6" t="s">
        <v>145</v>
      </c>
      <c r="D45" s="19">
        <v>1722</v>
      </c>
      <c r="E45" s="19">
        <v>1687</v>
      </c>
      <c r="F45" s="19">
        <v>1464</v>
      </c>
      <c r="G45" s="15">
        <f>F45</f>
        <v>1464</v>
      </c>
      <c r="H45" s="15">
        <f>G45</f>
        <v>1464</v>
      </c>
      <c r="I45" s="15">
        <f>H45</f>
        <v>1464</v>
      </c>
      <c r="J45" s="15">
        <f>I45</f>
        <v>1464</v>
      </c>
      <c r="K45" s="15">
        <f>J45</f>
        <v>1464</v>
      </c>
    </row>
    <row r="46" spans="1:14" outlineLevel="1" x14ac:dyDescent="0.2">
      <c r="B46" s="6" t="s">
        <v>146</v>
      </c>
      <c r="D46" s="15">
        <f t="shared" ref="D46:K46" si="10">D125</f>
        <v>4427</v>
      </c>
      <c r="E46" s="15">
        <f t="shared" si="10"/>
        <v>4717</v>
      </c>
      <c r="F46" s="15">
        <f t="shared" si="10"/>
        <v>5931</v>
      </c>
      <c r="G46" s="15">
        <f t="shared" si="10"/>
        <v>5942.3432912328781</v>
      </c>
      <c r="H46" s="15">
        <f t="shared" si="10"/>
        <v>5895.7852647945201</v>
      </c>
      <c r="I46" s="15">
        <f t="shared" si="10"/>
        <v>6071.774421760274</v>
      </c>
      <c r="J46" s="15">
        <f t="shared" si="10"/>
        <v>6257.0694517541378</v>
      </c>
      <c r="K46" s="15">
        <f t="shared" si="10"/>
        <v>6462.8390441084157</v>
      </c>
    </row>
    <row r="47" spans="1:14" outlineLevel="1" x14ac:dyDescent="0.2">
      <c r="B47" s="6" t="s">
        <v>147</v>
      </c>
      <c r="D47" s="15">
        <f t="shared" ref="D47:K47" si="11">D128</f>
        <v>7519</v>
      </c>
      <c r="E47" s="15">
        <f t="shared" si="11"/>
        <v>7489</v>
      </c>
      <c r="F47" s="15">
        <f t="shared" si="11"/>
        <v>7501</v>
      </c>
      <c r="G47" s="15">
        <f t="shared" si="11"/>
        <v>6973.66432710959</v>
      </c>
      <c r="H47" s="15">
        <f t="shared" si="11"/>
        <v>7043.49812967452</v>
      </c>
      <c r="I47" s="15">
        <f t="shared" si="11"/>
        <v>7139.7320783876639</v>
      </c>
      <c r="J47" s="15">
        <f t="shared" si="11"/>
        <v>7331.1997076385969</v>
      </c>
      <c r="K47" s="15">
        <f t="shared" si="11"/>
        <v>7545.0055373830119</v>
      </c>
    </row>
    <row r="48" spans="1:14" outlineLevel="1" x14ac:dyDescent="0.2">
      <c r="B48" s="6" t="s">
        <v>148</v>
      </c>
      <c r="D48" s="19">
        <v>1854</v>
      </c>
      <c r="E48" s="19">
        <v>2005</v>
      </c>
      <c r="F48" s="19">
        <v>2144</v>
      </c>
      <c r="G48" s="15">
        <f>F48</f>
        <v>2144</v>
      </c>
      <c r="H48" s="15">
        <f>G48</f>
        <v>2144</v>
      </c>
      <c r="I48" s="15">
        <f>H48</f>
        <v>2144</v>
      </c>
      <c r="J48" s="15">
        <f>I48</f>
        <v>2144</v>
      </c>
      <c r="K48" s="15">
        <f>J48</f>
        <v>2144</v>
      </c>
    </row>
    <row r="49" spans="2:11" outlineLevel="1" x14ac:dyDescent="0.2">
      <c r="B49" s="7" t="s">
        <v>149</v>
      </c>
      <c r="D49" s="27">
        <f t="shared" ref="D49:K49" si="12">SUM(D44:D48)</f>
        <v>25382</v>
      </c>
      <c r="E49" s="27">
        <f t="shared" si="12"/>
        <v>23362</v>
      </c>
      <c r="F49" s="27">
        <f t="shared" si="12"/>
        <v>24603</v>
      </c>
      <c r="G49" s="27">
        <f t="shared" si="12"/>
        <v>22389.377719372329</v>
      </c>
      <c r="H49" s="27">
        <f t="shared" si="12"/>
        <v>22741.943213453269</v>
      </c>
      <c r="I49" s="27">
        <f t="shared" si="12"/>
        <v>23248.906861885407</v>
      </c>
      <c r="J49" s="27">
        <f t="shared" si="12"/>
        <v>23921.382462721347</v>
      </c>
      <c r="K49" s="27">
        <f t="shared" si="12"/>
        <v>24815.419734074883</v>
      </c>
    </row>
    <row r="50" spans="2:11" outlineLevel="1" x14ac:dyDescent="0.2"/>
    <row r="51" spans="2:11" outlineLevel="1" x14ac:dyDescent="0.2">
      <c r="B51" s="6" t="s">
        <v>150</v>
      </c>
      <c r="D51" s="15">
        <f t="shared" ref="D51:K51" si="13">D143</f>
        <v>5000</v>
      </c>
      <c r="E51" s="15">
        <f t="shared" si="13"/>
        <v>4828</v>
      </c>
      <c r="F51" s="15">
        <f t="shared" si="13"/>
        <v>4796</v>
      </c>
      <c r="G51" s="15">
        <f t="shared" si="13"/>
        <v>4749.5555609999992</v>
      </c>
      <c r="H51" s="15">
        <f t="shared" si="13"/>
        <v>4749.5555609999992</v>
      </c>
      <c r="I51" s="15">
        <f t="shared" si="13"/>
        <v>4749.5555609999992</v>
      </c>
      <c r="J51" s="15">
        <f t="shared" si="13"/>
        <v>4749.5555609999992</v>
      </c>
      <c r="K51" s="15">
        <f t="shared" si="13"/>
        <v>4749.5555609999992</v>
      </c>
    </row>
    <row r="52" spans="2:11" outlineLevel="1" x14ac:dyDescent="0.2">
      <c r="B52" s="6" t="s">
        <v>151</v>
      </c>
      <c r="D52" s="19">
        <v>2718</v>
      </c>
      <c r="E52" s="19">
        <v>2712</v>
      </c>
      <c r="F52" s="19">
        <v>2838</v>
      </c>
      <c r="G52" s="15">
        <f t="shared" ref="G52:K54" si="14">F52</f>
        <v>2838</v>
      </c>
      <c r="H52" s="15">
        <f t="shared" si="14"/>
        <v>2838</v>
      </c>
      <c r="I52" s="15">
        <f t="shared" si="14"/>
        <v>2838</v>
      </c>
      <c r="J52" s="15">
        <f t="shared" si="14"/>
        <v>2838</v>
      </c>
      <c r="K52" s="15">
        <f t="shared" si="14"/>
        <v>2838</v>
      </c>
    </row>
    <row r="53" spans="2:11" outlineLevel="1" x14ac:dyDescent="0.2">
      <c r="B53" s="6" t="s">
        <v>152</v>
      </c>
      <c r="D53" s="19">
        <v>499</v>
      </c>
      <c r="E53" s="19">
        <v>499</v>
      </c>
      <c r="F53" s="19">
        <v>499</v>
      </c>
      <c r="G53" s="15">
        <f t="shared" si="14"/>
        <v>499</v>
      </c>
      <c r="H53" s="15">
        <f t="shared" si="14"/>
        <v>499</v>
      </c>
      <c r="I53" s="15">
        <f t="shared" si="14"/>
        <v>499</v>
      </c>
      <c r="J53" s="15">
        <f t="shared" si="14"/>
        <v>499</v>
      </c>
      <c r="K53" s="15">
        <f t="shared" si="14"/>
        <v>499</v>
      </c>
    </row>
    <row r="54" spans="2:11" outlineLevel="1" x14ac:dyDescent="0.2">
      <c r="B54" s="6" t="s">
        <v>153</v>
      </c>
      <c r="D54" s="19">
        <v>4511</v>
      </c>
      <c r="E54" s="19">
        <v>5178</v>
      </c>
      <c r="F54" s="19">
        <v>5674</v>
      </c>
      <c r="G54" s="15">
        <f t="shared" si="14"/>
        <v>5674</v>
      </c>
      <c r="H54" s="15">
        <f t="shared" si="14"/>
        <v>5674</v>
      </c>
      <c r="I54" s="15">
        <f t="shared" si="14"/>
        <v>5674</v>
      </c>
      <c r="J54" s="15">
        <f t="shared" si="14"/>
        <v>5674</v>
      </c>
      <c r="K54" s="15">
        <f t="shared" si="14"/>
        <v>5674</v>
      </c>
    </row>
    <row r="55" spans="2:11" outlineLevel="1" x14ac:dyDescent="0.2">
      <c r="B55" s="7" t="s">
        <v>154</v>
      </c>
      <c r="D55" s="27">
        <f t="shared" ref="D55:K55" si="15">D49+SUM(D51:D54)</f>
        <v>38110</v>
      </c>
      <c r="E55" s="27">
        <f t="shared" si="15"/>
        <v>36579</v>
      </c>
      <c r="F55" s="27">
        <f t="shared" si="15"/>
        <v>38410</v>
      </c>
      <c r="G55" s="27">
        <f t="shared" si="15"/>
        <v>36149.93328037233</v>
      </c>
      <c r="H55" s="27">
        <f t="shared" si="15"/>
        <v>36502.49877445327</v>
      </c>
      <c r="I55" s="27">
        <f t="shared" si="15"/>
        <v>37009.462422885408</v>
      </c>
      <c r="J55" s="27">
        <f t="shared" si="15"/>
        <v>37681.938023721348</v>
      </c>
      <c r="K55" s="27">
        <f t="shared" si="15"/>
        <v>38575.975295074881</v>
      </c>
    </row>
    <row r="56" spans="2:11" outlineLevel="1" x14ac:dyDescent="0.2"/>
    <row r="57" spans="2:11" outlineLevel="1" x14ac:dyDescent="0.2">
      <c r="B57" s="7" t="s">
        <v>155</v>
      </c>
    </row>
    <row r="58" spans="2:11" outlineLevel="1" x14ac:dyDescent="0.2">
      <c r="B58" s="6" t="s">
        <v>156</v>
      </c>
      <c r="D58" s="15">
        <f t="shared" ref="D58:K58" si="16">D131</f>
        <v>2857</v>
      </c>
      <c r="E58" s="15">
        <f t="shared" si="16"/>
        <v>3479</v>
      </c>
      <c r="F58" s="15">
        <f t="shared" si="16"/>
        <v>3600</v>
      </c>
      <c r="G58" s="15">
        <f t="shared" si="16"/>
        <v>3343.0452702123289</v>
      </c>
      <c r="H58" s="15">
        <f t="shared" si="16"/>
        <v>3485.0641787452055</v>
      </c>
      <c r="I58" s="15">
        <f t="shared" si="16"/>
        <v>3607.4435764485033</v>
      </c>
      <c r="J58" s="15">
        <f t="shared" si="16"/>
        <v>3704.185115438449</v>
      </c>
      <c r="K58" s="15">
        <f t="shared" si="16"/>
        <v>3812.2133241514166</v>
      </c>
    </row>
    <row r="59" spans="2:11" outlineLevel="1" x14ac:dyDescent="0.2">
      <c r="B59" s="6" t="s">
        <v>157</v>
      </c>
      <c r="D59" s="19">
        <v>5725</v>
      </c>
      <c r="E59" s="19">
        <v>5916</v>
      </c>
      <c r="F59" s="19">
        <v>6092</v>
      </c>
      <c r="G59" s="15">
        <f t="shared" ref="G59:K61" si="17">F59</f>
        <v>6092</v>
      </c>
      <c r="H59" s="15">
        <f t="shared" si="17"/>
        <v>6092</v>
      </c>
      <c r="I59" s="15">
        <f t="shared" si="17"/>
        <v>6092</v>
      </c>
      <c r="J59" s="15">
        <f t="shared" si="17"/>
        <v>6092</v>
      </c>
      <c r="K59" s="15">
        <f t="shared" si="17"/>
        <v>6092</v>
      </c>
    </row>
    <row r="60" spans="2:11" outlineLevel="1" x14ac:dyDescent="0.2">
      <c r="B60" s="6" t="s">
        <v>158</v>
      </c>
      <c r="D60" s="19">
        <v>534</v>
      </c>
      <c r="E60" s="19">
        <v>669</v>
      </c>
      <c r="F60" s="19">
        <v>377</v>
      </c>
      <c r="G60" s="15">
        <f t="shared" si="17"/>
        <v>377</v>
      </c>
      <c r="H60" s="15">
        <f t="shared" si="17"/>
        <v>377</v>
      </c>
      <c r="I60" s="15">
        <f t="shared" si="17"/>
        <v>377</v>
      </c>
      <c r="J60" s="15">
        <f t="shared" si="17"/>
        <v>377</v>
      </c>
      <c r="K60" s="15">
        <f t="shared" si="17"/>
        <v>377</v>
      </c>
    </row>
    <row r="61" spans="2:11" outlineLevel="1" x14ac:dyDescent="0.2">
      <c r="B61" s="6" t="s">
        <v>159</v>
      </c>
      <c r="D61" s="19">
        <v>477</v>
      </c>
      <c r="E61" s="19">
        <v>502</v>
      </c>
      <c r="F61" s="19">
        <v>478</v>
      </c>
      <c r="G61" s="15">
        <f t="shared" si="17"/>
        <v>478</v>
      </c>
      <c r="H61" s="15">
        <f t="shared" si="17"/>
        <v>478</v>
      </c>
      <c r="I61" s="15">
        <f t="shared" si="17"/>
        <v>478</v>
      </c>
      <c r="J61" s="15">
        <f t="shared" si="17"/>
        <v>478</v>
      </c>
      <c r="K61" s="15">
        <f t="shared" si="17"/>
        <v>478</v>
      </c>
    </row>
    <row r="62" spans="2:11" outlineLevel="1" x14ac:dyDescent="0.2">
      <c r="B62" s="7" t="s">
        <v>160</v>
      </c>
      <c r="D62" s="27">
        <f t="shared" ref="D62:K62" si="18">SUM(D58:D61)</f>
        <v>9593</v>
      </c>
      <c r="E62" s="27">
        <f t="shared" si="18"/>
        <v>10566</v>
      </c>
      <c r="F62" s="27">
        <f t="shared" si="18"/>
        <v>10547</v>
      </c>
      <c r="G62" s="27">
        <f t="shared" si="18"/>
        <v>10290.045270212329</v>
      </c>
      <c r="H62" s="27">
        <f t="shared" si="18"/>
        <v>10432.064178745206</v>
      </c>
      <c r="I62" s="27">
        <f t="shared" si="18"/>
        <v>10554.443576448502</v>
      </c>
      <c r="J62" s="27">
        <f t="shared" si="18"/>
        <v>10651.185115438449</v>
      </c>
      <c r="K62" s="27">
        <f t="shared" si="18"/>
        <v>10759.213324151417</v>
      </c>
    </row>
    <row r="63" spans="2:11" outlineLevel="1" x14ac:dyDescent="0.2"/>
    <row r="64" spans="2:11" outlineLevel="1" x14ac:dyDescent="0.2">
      <c r="B64" s="6" t="s">
        <v>161</v>
      </c>
      <c r="D64" s="15">
        <f t="shared" ref="D64:K64" si="19">D152</f>
        <v>8903</v>
      </c>
      <c r="E64" s="15">
        <f t="shared" si="19"/>
        <v>7961</v>
      </c>
      <c r="F64" s="15">
        <f t="shared" si="19"/>
        <v>7942</v>
      </c>
      <c r="G64" s="15">
        <f t="shared" si="19"/>
        <v>5942</v>
      </c>
      <c r="H64" s="15">
        <f t="shared" si="19"/>
        <v>5942</v>
      </c>
      <c r="I64" s="15">
        <f t="shared" si="19"/>
        <v>5942</v>
      </c>
      <c r="J64" s="15">
        <f t="shared" si="19"/>
        <v>5942</v>
      </c>
      <c r="K64" s="15">
        <f t="shared" si="19"/>
        <v>5942</v>
      </c>
    </row>
    <row r="65" spans="1:14" outlineLevel="1" x14ac:dyDescent="0.2">
      <c r="B65" s="6" t="s">
        <v>162</v>
      </c>
      <c r="D65" s="15">
        <f t="shared" ref="D65:K65" si="20">D161</f>
        <v>0</v>
      </c>
      <c r="E65" s="15">
        <f t="shared" si="20"/>
        <v>0</v>
      </c>
      <c r="F65" s="15">
        <f t="shared" si="20"/>
        <v>0</v>
      </c>
      <c r="G65" s="15">
        <f t="shared" si="20"/>
        <v>0</v>
      </c>
      <c r="H65" s="15">
        <f t="shared" si="20"/>
        <v>0</v>
      </c>
      <c r="I65" s="15">
        <f t="shared" si="20"/>
        <v>0</v>
      </c>
      <c r="J65" s="15">
        <f t="shared" si="20"/>
        <v>0</v>
      </c>
      <c r="K65" s="15">
        <f t="shared" si="20"/>
        <v>0</v>
      </c>
    </row>
    <row r="66" spans="1:14" outlineLevel="1" x14ac:dyDescent="0.2">
      <c r="B66" s="6" t="s">
        <v>163</v>
      </c>
      <c r="D66" s="19">
        <v>2566</v>
      </c>
      <c r="E66" s="19">
        <v>2550</v>
      </c>
      <c r="F66" s="19">
        <v>2613</v>
      </c>
      <c r="G66" s="15">
        <f t="shared" ref="G66:K67" si="21">F66</f>
        <v>2613</v>
      </c>
      <c r="H66" s="15">
        <f t="shared" si="21"/>
        <v>2613</v>
      </c>
      <c r="I66" s="15">
        <f t="shared" si="21"/>
        <v>2613</v>
      </c>
      <c r="J66" s="15">
        <f t="shared" si="21"/>
        <v>2613</v>
      </c>
      <c r="K66" s="15">
        <f t="shared" si="21"/>
        <v>2613</v>
      </c>
    </row>
    <row r="67" spans="1:14" outlineLevel="1" x14ac:dyDescent="0.2">
      <c r="B67" s="6" t="s">
        <v>164</v>
      </c>
      <c r="D67" s="19">
        <v>2618</v>
      </c>
      <c r="E67" s="19">
        <v>2289</v>
      </c>
      <c r="F67" s="19">
        <v>2443</v>
      </c>
      <c r="G67" s="15">
        <f t="shared" si="21"/>
        <v>2443</v>
      </c>
      <c r="H67" s="15">
        <f t="shared" si="21"/>
        <v>2443</v>
      </c>
      <c r="I67" s="15">
        <f t="shared" si="21"/>
        <v>2443</v>
      </c>
      <c r="J67" s="15">
        <f t="shared" si="21"/>
        <v>2443</v>
      </c>
      <c r="K67" s="15">
        <f t="shared" si="21"/>
        <v>2443</v>
      </c>
    </row>
    <row r="68" spans="1:14" outlineLevel="1" x14ac:dyDescent="0.2">
      <c r="B68" s="7" t="s">
        <v>165</v>
      </c>
      <c r="D68" s="27">
        <f t="shared" ref="D68:K68" si="22">D62+SUM(D64:D67)</f>
        <v>23680</v>
      </c>
      <c r="E68" s="27">
        <f t="shared" si="22"/>
        <v>23366</v>
      </c>
      <c r="F68" s="27">
        <f t="shared" si="22"/>
        <v>23545</v>
      </c>
      <c r="G68" s="27">
        <f t="shared" si="22"/>
        <v>21288.045270212329</v>
      </c>
      <c r="H68" s="27">
        <f t="shared" si="22"/>
        <v>21430.064178745204</v>
      </c>
      <c r="I68" s="27">
        <f t="shared" si="22"/>
        <v>21552.443576448502</v>
      </c>
      <c r="J68" s="27">
        <f t="shared" si="22"/>
        <v>21649.185115438449</v>
      </c>
      <c r="K68" s="27">
        <f t="shared" si="22"/>
        <v>21757.213324151417</v>
      </c>
    </row>
    <row r="69" spans="1:14" outlineLevel="1" x14ac:dyDescent="0.2"/>
    <row r="70" spans="1:14" outlineLevel="1" x14ac:dyDescent="0.2">
      <c r="B70" s="7" t="s">
        <v>166</v>
      </c>
    </row>
    <row r="71" spans="1:14" outlineLevel="1" x14ac:dyDescent="0.2">
      <c r="B71" s="6" t="s">
        <v>167</v>
      </c>
      <c r="D71" s="15">
        <f t="shared" ref="D71:K71" si="23">D175</f>
        <v>13412</v>
      </c>
      <c r="E71" s="15">
        <f t="shared" si="23"/>
        <v>14198</v>
      </c>
      <c r="F71" s="15">
        <f t="shared" si="23"/>
        <v>15161</v>
      </c>
      <c r="G71" s="15">
        <f t="shared" si="23"/>
        <v>15904.111024</v>
      </c>
      <c r="H71" s="15">
        <f t="shared" si="23"/>
        <v>16669.252933920001</v>
      </c>
      <c r="I71" s="15">
        <f t="shared" si="23"/>
        <v>17457.234325543999</v>
      </c>
      <c r="J71" s="15">
        <f t="shared" si="23"/>
        <v>18269.262894393869</v>
      </c>
      <c r="K71" s="15">
        <f t="shared" si="23"/>
        <v>19107.995783673716</v>
      </c>
    </row>
    <row r="72" spans="1:14" outlineLevel="1" x14ac:dyDescent="0.2">
      <c r="B72" s="6" t="s">
        <v>168</v>
      </c>
      <c r="D72" s="15">
        <f t="shared" ref="D72:K72" si="24">D182</f>
        <v>965</v>
      </c>
      <c r="E72" s="15">
        <f t="shared" si="24"/>
        <v>-727</v>
      </c>
      <c r="F72" s="15">
        <f t="shared" si="24"/>
        <v>-155</v>
      </c>
      <c r="G72" s="15">
        <f t="shared" si="24"/>
        <v>-901.22301383999911</v>
      </c>
      <c r="H72" s="15">
        <f t="shared" si="24"/>
        <v>-1455.81833821194</v>
      </c>
      <c r="I72" s="15">
        <f t="shared" si="24"/>
        <v>-1859.2154791070984</v>
      </c>
      <c r="J72" s="15">
        <f t="shared" si="24"/>
        <v>-2095.5099861109743</v>
      </c>
      <c r="K72" s="15">
        <f t="shared" si="24"/>
        <v>-2148.2338127502549</v>
      </c>
    </row>
    <row r="73" spans="1:14" outlineLevel="1" x14ac:dyDescent="0.2">
      <c r="B73" s="6" t="s">
        <v>169</v>
      </c>
      <c r="D73" s="19">
        <v>53</v>
      </c>
      <c r="E73" s="19">
        <v>-258</v>
      </c>
      <c r="F73" s="19">
        <v>-141</v>
      </c>
      <c r="G73" s="15">
        <f>F73</f>
        <v>-141</v>
      </c>
      <c r="H73" s="15">
        <f>G73</f>
        <v>-141</v>
      </c>
      <c r="I73" s="15">
        <f>H73</f>
        <v>-141</v>
      </c>
      <c r="J73" s="15">
        <f>I73</f>
        <v>-141</v>
      </c>
      <c r="K73" s="15">
        <f>J73</f>
        <v>-141</v>
      </c>
    </row>
    <row r="74" spans="1:14" outlineLevel="1" x14ac:dyDescent="0.2">
      <c r="B74" s="7" t="s">
        <v>170</v>
      </c>
      <c r="D74" s="27">
        <f t="shared" ref="D74:K74" si="25">SUM(D71:D73)</f>
        <v>14430</v>
      </c>
      <c r="E74" s="27">
        <f t="shared" si="25"/>
        <v>13213</v>
      </c>
      <c r="F74" s="27">
        <f t="shared" si="25"/>
        <v>14865</v>
      </c>
      <c r="G74" s="27">
        <f t="shared" si="25"/>
        <v>14861.888010160001</v>
      </c>
      <c r="H74" s="27">
        <f t="shared" si="25"/>
        <v>15072.43459570806</v>
      </c>
      <c r="I74" s="27">
        <f t="shared" si="25"/>
        <v>15457.0188464369</v>
      </c>
      <c r="J74" s="27">
        <f t="shared" si="25"/>
        <v>16032.752908282895</v>
      </c>
      <c r="K74" s="27">
        <f t="shared" si="25"/>
        <v>16818.76197092346</v>
      </c>
    </row>
    <row r="75" spans="1:14" outlineLevel="1" x14ac:dyDescent="0.2"/>
    <row r="76" spans="1:14" outlineLevel="1" x14ac:dyDescent="0.2">
      <c r="B76" s="7" t="s">
        <v>171</v>
      </c>
      <c r="D76" s="27">
        <f t="shared" ref="D76:K76" si="26">D68+D74</f>
        <v>38110</v>
      </c>
      <c r="E76" s="27">
        <f t="shared" si="26"/>
        <v>36579</v>
      </c>
      <c r="F76" s="27">
        <f t="shared" si="26"/>
        <v>38410</v>
      </c>
      <c r="G76" s="27">
        <f t="shared" si="26"/>
        <v>36149.93328037233</v>
      </c>
      <c r="H76" s="27">
        <f t="shared" si="26"/>
        <v>36502.498774453263</v>
      </c>
      <c r="I76" s="27">
        <f t="shared" si="26"/>
        <v>37009.462422885401</v>
      </c>
      <c r="J76" s="27">
        <f t="shared" si="26"/>
        <v>37681.938023721348</v>
      </c>
      <c r="K76" s="27">
        <f t="shared" si="26"/>
        <v>38575.975295074881</v>
      </c>
    </row>
    <row r="77" spans="1:14" outlineLevel="1" x14ac:dyDescent="0.2"/>
    <row r="78" spans="1:14" outlineLevel="1" x14ac:dyDescent="0.2">
      <c r="B78" s="30" t="s">
        <v>172</v>
      </c>
      <c r="D78" s="31">
        <f t="shared" ref="D78:K78" si="27">ROUND(D55-D76,0)</f>
        <v>0</v>
      </c>
      <c r="E78" s="31">
        <f t="shared" si="27"/>
        <v>0</v>
      </c>
      <c r="F78" s="31">
        <f t="shared" si="27"/>
        <v>0</v>
      </c>
      <c r="G78" s="31">
        <f t="shared" si="27"/>
        <v>0</v>
      </c>
      <c r="H78" s="31">
        <f t="shared" si="27"/>
        <v>0</v>
      </c>
      <c r="I78" s="31">
        <f t="shared" si="27"/>
        <v>0</v>
      </c>
      <c r="J78" s="31">
        <f t="shared" si="27"/>
        <v>0</v>
      </c>
      <c r="K78" s="31">
        <f t="shared" si="27"/>
        <v>0</v>
      </c>
    </row>
    <row r="80" spans="1:14" ht="20" x14ac:dyDescent="0.25">
      <c r="A80" s="8" t="s">
        <v>27</v>
      </c>
      <c r="B80" s="11" t="s">
        <v>173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2:11" outlineLevel="1" x14ac:dyDescent="0.2"/>
    <row r="82" spans="2:11" outlineLevel="1" x14ac:dyDescent="0.2">
      <c r="B82" s="6" t="s">
        <v>55</v>
      </c>
      <c r="D82" s="18" t="s">
        <v>56</v>
      </c>
      <c r="E82" s="18" t="s">
        <v>57</v>
      </c>
      <c r="F82" s="18" t="s">
        <v>39</v>
      </c>
      <c r="G82" s="18" t="s">
        <v>58</v>
      </c>
      <c r="H82" s="18" t="s">
        <v>59</v>
      </c>
      <c r="I82" s="18" t="s">
        <v>60</v>
      </c>
      <c r="J82" s="18" t="s">
        <v>61</v>
      </c>
      <c r="K82" s="18" t="s">
        <v>40</v>
      </c>
    </row>
    <row r="83" spans="2:11" outlineLevel="1" x14ac:dyDescent="0.2"/>
    <row r="84" spans="2:11" outlineLevel="1" x14ac:dyDescent="0.2">
      <c r="B84" s="7" t="s">
        <v>174</v>
      </c>
    </row>
    <row r="85" spans="2:11" outlineLevel="1" x14ac:dyDescent="0.2">
      <c r="B85" s="6" t="s">
        <v>138</v>
      </c>
      <c r="D85" s="15">
        <f t="shared" ref="D85:K85" si="28">D34</f>
        <v>5700</v>
      </c>
      <c r="E85" s="15">
        <f t="shared" si="28"/>
        <v>3219</v>
      </c>
      <c r="F85" s="15">
        <f t="shared" si="28"/>
        <v>3108</v>
      </c>
      <c r="G85" s="15">
        <f t="shared" si="28"/>
        <v>3391.5976723200019</v>
      </c>
      <c r="H85" s="15">
        <f t="shared" si="28"/>
        <v>3845.9158870911187</v>
      </c>
      <c r="I85" s="15">
        <f t="shared" si="28"/>
        <v>4220.4090541410833</v>
      </c>
      <c r="J85" s="15">
        <f t="shared" si="28"/>
        <v>4627.76013046145</v>
      </c>
      <c r="K85" s="15">
        <f t="shared" si="28"/>
        <v>5069.1115712426672</v>
      </c>
    </row>
    <row r="86" spans="2:11" outlineLevel="1" x14ac:dyDescent="0.2">
      <c r="B86" s="6" t="s">
        <v>175</v>
      </c>
      <c r="D86" s="15">
        <f t="shared" ref="D86:K86" si="29">-D142</f>
        <v>796</v>
      </c>
      <c r="E86" s="15">
        <f t="shared" si="29"/>
        <v>775</v>
      </c>
      <c r="F86" s="15">
        <f t="shared" si="29"/>
        <v>747</v>
      </c>
      <c r="G86" s="15">
        <f t="shared" si="29"/>
        <v>789.55546300000015</v>
      </c>
      <c r="H86" s="15">
        <f t="shared" si="29"/>
        <v>812.96327929000006</v>
      </c>
      <c r="I86" s="15">
        <f t="shared" si="29"/>
        <v>837.23022860050014</v>
      </c>
      <c r="J86" s="15">
        <f t="shared" si="29"/>
        <v>862.78035440298731</v>
      </c>
      <c r="K86" s="15">
        <f t="shared" si="29"/>
        <v>891.15369485983831</v>
      </c>
    </row>
    <row r="87" spans="2:11" outlineLevel="1" x14ac:dyDescent="0.2">
      <c r="B87" s="6" t="s">
        <v>176</v>
      </c>
      <c r="D87" s="15">
        <f t="shared" ref="D87:K87" si="30">D174</f>
        <v>804</v>
      </c>
      <c r="E87" s="15">
        <f t="shared" si="30"/>
        <v>709</v>
      </c>
      <c r="F87" s="15">
        <f t="shared" si="30"/>
        <v>715</v>
      </c>
      <c r="G87" s="15">
        <f t="shared" si="30"/>
        <v>743.11102400000016</v>
      </c>
      <c r="H87" s="15">
        <f t="shared" si="30"/>
        <v>765.14190991999999</v>
      </c>
      <c r="I87" s="15">
        <f t="shared" si="30"/>
        <v>787.98139162400003</v>
      </c>
      <c r="J87" s="15">
        <f t="shared" si="30"/>
        <v>812.02856884987034</v>
      </c>
      <c r="K87" s="15">
        <f t="shared" si="30"/>
        <v>838.73288927984777</v>
      </c>
    </row>
    <row r="88" spans="2:11" outlineLevel="1" x14ac:dyDescent="0.2">
      <c r="B88" s="6" t="s">
        <v>177</v>
      </c>
      <c r="D88" s="19">
        <v>-497</v>
      </c>
      <c r="E88" s="19">
        <v>-288</v>
      </c>
      <c r="F88" s="19">
        <v>-96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</row>
    <row r="89" spans="2:11" outlineLevel="1" x14ac:dyDescent="0.2">
      <c r="B89" s="6" t="s">
        <v>178</v>
      </c>
      <c r="D89" s="19">
        <v>48</v>
      </c>
      <c r="E89" s="19">
        <v>33</v>
      </c>
      <c r="F89" s="19">
        <v>50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</row>
    <row r="90" spans="2:11" outlineLevel="1" x14ac:dyDescent="0.2">
      <c r="B90" s="6" t="s">
        <v>179</v>
      </c>
      <c r="D90" s="19">
        <v>-138</v>
      </c>
      <c r="E90" s="19">
        <v>37</v>
      </c>
      <c r="F90" s="19">
        <v>22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</row>
    <row r="91" spans="2:11" outlineLevel="1" x14ac:dyDescent="0.2">
      <c r="B91" s="6" t="s">
        <v>180</v>
      </c>
      <c r="D91" s="19">
        <v>-329</v>
      </c>
      <c r="E91" s="19">
        <v>-257</v>
      </c>
      <c r="F91" s="19">
        <v>-1207</v>
      </c>
      <c r="G91" s="15">
        <f t="shared" ref="G91:K92" si="31">G134</f>
        <v>-11.343291232878073</v>
      </c>
      <c r="H91" s="15">
        <f t="shared" si="31"/>
        <v>46.558026438357956</v>
      </c>
      <c r="I91" s="15">
        <f t="shared" si="31"/>
        <v>-175.98915696575386</v>
      </c>
      <c r="J91" s="15">
        <f t="shared" si="31"/>
        <v>-185.29502999386386</v>
      </c>
      <c r="K91" s="15">
        <f t="shared" si="31"/>
        <v>-205.76959235427785</v>
      </c>
    </row>
    <row r="92" spans="2:11" outlineLevel="1" x14ac:dyDescent="0.2">
      <c r="B92" s="6" t="s">
        <v>181</v>
      </c>
      <c r="D92" s="19">
        <v>908</v>
      </c>
      <c r="E92" s="19">
        <v>120</v>
      </c>
      <c r="F92" s="19">
        <v>-31</v>
      </c>
      <c r="G92" s="15">
        <f t="shared" si="31"/>
        <v>527.33567289041002</v>
      </c>
      <c r="H92" s="15">
        <f t="shared" si="31"/>
        <v>-69.833802564930011</v>
      </c>
      <c r="I92" s="15">
        <f t="shared" si="31"/>
        <v>-96.233948713143945</v>
      </c>
      <c r="J92" s="15">
        <f t="shared" si="31"/>
        <v>-191.46762925093299</v>
      </c>
      <c r="K92" s="15">
        <f t="shared" si="31"/>
        <v>-213.80582974441495</v>
      </c>
    </row>
    <row r="93" spans="2:11" outlineLevel="1" x14ac:dyDescent="0.2">
      <c r="B93" s="6" t="s">
        <v>182</v>
      </c>
      <c r="D93" s="19">
        <v>-260</v>
      </c>
      <c r="E93" s="19">
        <v>-224</v>
      </c>
      <c r="F93" s="19">
        <v>519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</row>
    <row r="94" spans="2:11" outlineLevel="1" x14ac:dyDescent="0.2">
      <c r="B94" s="6" t="s">
        <v>183</v>
      </c>
      <c r="D94" s="19">
        <v>397</v>
      </c>
      <c r="E94" s="19">
        <v>-426</v>
      </c>
      <c r="F94" s="19">
        <v>-959</v>
      </c>
      <c r="G94" s="15">
        <f>G136</f>
        <v>-256.95472978767111</v>
      </c>
      <c r="H94" s="15">
        <f>H136</f>
        <v>142.01890853287659</v>
      </c>
      <c r="I94" s="15">
        <f>I136</f>
        <v>122.37939770329785</v>
      </c>
      <c r="J94" s="15">
        <f>J136</f>
        <v>96.741538989945639</v>
      </c>
      <c r="K94" s="15">
        <f>K136</f>
        <v>108.02820871296763</v>
      </c>
    </row>
    <row r="95" spans="2:11" outlineLevel="1" x14ac:dyDescent="0.2">
      <c r="B95" s="7" t="s">
        <v>184</v>
      </c>
      <c r="D95" s="27">
        <f t="shared" ref="D95:K95" si="32">SUM(D85:D94)</f>
        <v>7429</v>
      </c>
      <c r="E95" s="27">
        <f t="shared" si="32"/>
        <v>3698</v>
      </c>
      <c r="F95" s="27">
        <f t="shared" si="32"/>
        <v>2868</v>
      </c>
      <c r="G95" s="27">
        <f t="shared" si="32"/>
        <v>5183.3018111898637</v>
      </c>
      <c r="H95" s="27">
        <f t="shared" si="32"/>
        <v>5542.7642087074237</v>
      </c>
      <c r="I95" s="27">
        <f t="shared" si="32"/>
        <v>5695.7769663899835</v>
      </c>
      <c r="J95" s="27">
        <f t="shared" si="32"/>
        <v>6022.5479334594565</v>
      </c>
      <c r="K95" s="27">
        <f t="shared" si="32"/>
        <v>6487.4509419966289</v>
      </c>
    </row>
    <row r="96" spans="2:11" outlineLevel="1" x14ac:dyDescent="0.2"/>
    <row r="97" spans="2:11" outlineLevel="1" x14ac:dyDescent="0.2">
      <c r="B97" s="7" t="s">
        <v>185</v>
      </c>
    </row>
    <row r="98" spans="2:11" outlineLevel="1" x14ac:dyDescent="0.2">
      <c r="B98" s="6" t="s">
        <v>186</v>
      </c>
      <c r="D98" s="15">
        <f t="shared" ref="D98:K98" si="33">D141</f>
        <v>-812</v>
      </c>
      <c r="E98" s="15">
        <f t="shared" si="33"/>
        <v>-430</v>
      </c>
      <c r="F98" s="15">
        <f t="shared" si="33"/>
        <v>-684</v>
      </c>
      <c r="G98" s="15">
        <f t="shared" si="33"/>
        <v>-743.11102400000016</v>
      </c>
      <c r="H98" s="15">
        <f t="shared" si="33"/>
        <v>-812.96327929000006</v>
      </c>
      <c r="I98" s="15">
        <f t="shared" si="33"/>
        <v>-837.23022860050014</v>
      </c>
      <c r="J98" s="15">
        <f t="shared" si="33"/>
        <v>-862.78035440298731</v>
      </c>
      <c r="K98" s="15">
        <f t="shared" si="33"/>
        <v>-891.15369485983831</v>
      </c>
    </row>
    <row r="99" spans="2:11" outlineLevel="1" x14ac:dyDescent="0.2">
      <c r="B99" s="6" t="s">
        <v>187</v>
      </c>
      <c r="D99" s="19">
        <v>1721</v>
      </c>
      <c r="E99" s="19">
        <v>147</v>
      </c>
      <c r="F99" s="19">
        <v>261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</row>
    <row r="100" spans="2:11" outlineLevel="1" x14ac:dyDescent="0.2">
      <c r="B100" s="6" t="s">
        <v>188</v>
      </c>
      <c r="D100" s="19">
        <v>-15</v>
      </c>
      <c r="E100" s="19">
        <v>8</v>
      </c>
      <c r="F100" s="19">
        <v>-65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</row>
    <row r="101" spans="2:11" outlineLevel="1" x14ac:dyDescent="0.2">
      <c r="B101" s="7" t="s">
        <v>189</v>
      </c>
      <c r="D101" s="27">
        <f t="shared" ref="D101:K101" si="34">SUM(D98:D100)</f>
        <v>894</v>
      </c>
      <c r="E101" s="27">
        <f t="shared" si="34"/>
        <v>-275</v>
      </c>
      <c r="F101" s="27">
        <f t="shared" si="34"/>
        <v>-488</v>
      </c>
      <c r="G101" s="27">
        <f t="shared" si="34"/>
        <v>-743.11102400000016</v>
      </c>
      <c r="H101" s="27">
        <f t="shared" si="34"/>
        <v>-812.96327929000006</v>
      </c>
      <c r="I101" s="27">
        <f t="shared" si="34"/>
        <v>-837.23022860050014</v>
      </c>
      <c r="J101" s="27">
        <f t="shared" si="34"/>
        <v>-862.78035440298731</v>
      </c>
      <c r="K101" s="27">
        <f t="shared" si="34"/>
        <v>-891.15369485983831</v>
      </c>
    </row>
    <row r="102" spans="2:11" outlineLevel="1" x14ac:dyDescent="0.2"/>
    <row r="103" spans="2:11" outlineLevel="1" x14ac:dyDescent="0.2">
      <c r="B103" s="7" t="s">
        <v>190</v>
      </c>
    </row>
    <row r="104" spans="2:11" outlineLevel="1" x14ac:dyDescent="0.2">
      <c r="B104" s="6" t="s">
        <v>191</v>
      </c>
      <c r="D104" s="19">
        <v>0</v>
      </c>
      <c r="E104" s="19">
        <v>-1000</v>
      </c>
      <c r="F104" s="19">
        <v>0</v>
      </c>
      <c r="G104" s="15">
        <f>G151</f>
        <v>-2000</v>
      </c>
      <c r="H104" s="15">
        <f>H151</f>
        <v>0</v>
      </c>
      <c r="I104" s="15">
        <f>I151</f>
        <v>0</v>
      </c>
      <c r="J104" s="15">
        <f>J151</f>
        <v>0</v>
      </c>
      <c r="K104" s="15">
        <f>K151</f>
        <v>0</v>
      </c>
    </row>
    <row r="105" spans="2:11" outlineLevel="1" x14ac:dyDescent="0.2">
      <c r="B105" s="6" t="s">
        <v>192</v>
      </c>
      <c r="D105" s="19">
        <v>0</v>
      </c>
      <c r="E105" s="19">
        <v>0</v>
      </c>
      <c r="F105" s="19">
        <v>0</v>
      </c>
      <c r="G105" s="15">
        <f>IF((G114+G95+G101+G104+G106+G107+G108+G109+G112-Inputs!G94)&lt;0,-(G114+G95+G101+G104+G106+G107+G108+G109+G112-Inputs!G94),-MIN((G114+G95+G101+G104+G106+G107+G108+G109+G112-Inputs!G94),G159))</f>
        <v>0</v>
      </c>
      <c r="H105" s="15">
        <f>IF((H114+H95+H101+H104+H106+H107+H108+H109+H112-Inputs!H94)&lt;0,-(H114+H95+H101+H104+H106+H107+H108+H109+H112-Inputs!H94),-MIN((H114+H95+H101+H104+H106+H107+H108+H109+H112-Inputs!H94),H159))</f>
        <v>0</v>
      </c>
      <c r="I105" s="15">
        <f>IF((I114+I95+I101+I104+I106+I107+I108+I109+I112-Inputs!I94)&lt;0,-(I114+I95+I101+I104+I106+I107+I108+I109+I112-Inputs!I94),-MIN((I114+I95+I101+I104+I106+I107+I108+I109+I112-Inputs!I94),I159))</f>
        <v>0</v>
      </c>
      <c r="J105" s="15">
        <f>IF((J114+J95+J101+J104+J106+J107+J108+J109+J112-Inputs!J94)&lt;0,-(J114+J95+J101+J104+J106+J107+J108+J109+J112-Inputs!J94),-MIN((J114+J95+J101+J104+J106+J107+J108+J109+J112-Inputs!J94),J159))</f>
        <v>0</v>
      </c>
      <c r="K105" s="15">
        <f>IF((K114+K95+K101+K104+K106+K107+K108+K109+K112-Inputs!K94)&lt;0,-(K114+K95+K101+K104+K106+K107+K108+K109+K112-Inputs!K94),-MIN((K114+K95+K101+K104+K106+K107+K108+K109+K112-Inputs!K94),K159))</f>
        <v>0</v>
      </c>
    </row>
    <row r="106" spans="2:11" outlineLevel="1" x14ac:dyDescent="0.2">
      <c r="B106" s="6" t="s">
        <v>193</v>
      </c>
      <c r="D106" s="19">
        <v>667</v>
      </c>
      <c r="E106" s="19">
        <v>551</v>
      </c>
      <c r="F106" s="19">
        <v>354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</row>
    <row r="107" spans="2:11" outlineLevel="1" x14ac:dyDescent="0.2">
      <c r="B107" s="6" t="s">
        <v>194</v>
      </c>
      <c r="D107" s="15">
        <f t="shared" ref="D107:K107" si="35">D181</f>
        <v>-4250</v>
      </c>
      <c r="E107" s="15">
        <f t="shared" si="35"/>
        <v>-2985</v>
      </c>
      <c r="F107" s="15">
        <f t="shared" si="35"/>
        <v>-146</v>
      </c>
      <c r="G107" s="15">
        <f t="shared" si="35"/>
        <v>-1695.798836160001</v>
      </c>
      <c r="H107" s="15">
        <f t="shared" si="35"/>
        <v>-1922.9579435455594</v>
      </c>
      <c r="I107" s="15">
        <f t="shared" si="35"/>
        <v>-2110.2045270705416</v>
      </c>
      <c r="J107" s="15">
        <f t="shared" si="35"/>
        <v>-2313.880065230725</v>
      </c>
      <c r="K107" s="15">
        <f t="shared" si="35"/>
        <v>-2534.5557856213336</v>
      </c>
    </row>
    <row r="108" spans="2:11" outlineLevel="1" x14ac:dyDescent="0.2">
      <c r="B108" s="6" t="s">
        <v>195</v>
      </c>
      <c r="D108" s="15">
        <f t="shared" ref="D108:K108" si="36">D180</f>
        <v>-2169</v>
      </c>
      <c r="E108" s="15">
        <f t="shared" si="36"/>
        <v>-2300</v>
      </c>
      <c r="F108" s="15">
        <f t="shared" si="36"/>
        <v>-2407</v>
      </c>
      <c r="G108" s="15">
        <f t="shared" si="36"/>
        <v>-2442.0218500000001</v>
      </c>
      <c r="H108" s="15">
        <f t="shared" si="36"/>
        <v>-2477.5532679175003</v>
      </c>
      <c r="I108" s="15">
        <f t="shared" si="36"/>
        <v>-2513.6016679657</v>
      </c>
      <c r="J108" s="15">
        <f t="shared" si="36"/>
        <v>-2550.1745722346009</v>
      </c>
      <c r="K108" s="15">
        <f t="shared" si="36"/>
        <v>-2587.2796122606142</v>
      </c>
    </row>
    <row r="109" spans="2:11" outlineLevel="1" x14ac:dyDescent="0.2">
      <c r="B109" s="6" t="s">
        <v>196</v>
      </c>
      <c r="D109" s="19">
        <v>-136</v>
      </c>
      <c r="E109" s="19">
        <v>-86</v>
      </c>
      <c r="F109" s="19">
        <v>-93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</row>
    <row r="110" spans="2:11" outlineLevel="1" x14ac:dyDescent="0.2">
      <c r="B110" s="7" t="s">
        <v>197</v>
      </c>
      <c r="D110" s="27">
        <f t="shared" ref="D110:K110" si="37">SUM(D104:D109)</f>
        <v>-5888</v>
      </c>
      <c r="E110" s="27">
        <f t="shared" si="37"/>
        <v>-5820</v>
      </c>
      <c r="F110" s="27">
        <f t="shared" si="37"/>
        <v>-2292</v>
      </c>
      <c r="G110" s="27">
        <f t="shared" si="37"/>
        <v>-6137.8206861600011</v>
      </c>
      <c r="H110" s="27">
        <f t="shared" si="37"/>
        <v>-4400.5112114630592</v>
      </c>
      <c r="I110" s="27">
        <f t="shared" si="37"/>
        <v>-4623.8061950362417</v>
      </c>
      <c r="J110" s="27">
        <f t="shared" si="37"/>
        <v>-4864.0546374653259</v>
      </c>
      <c r="K110" s="27">
        <f t="shared" si="37"/>
        <v>-5121.8353978819478</v>
      </c>
    </row>
    <row r="111" spans="2:11" outlineLevel="1" x14ac:dyDescent="0.2"/>
    <row r="112" spans="2:11" outlineLevel="1" x14ac:dyDescent="0.2">
      <c r="B112" s="6" t="s">
        <v>198</v>
      </c>
      <c r="D112" s="19">
        <v>-16</v>
      </c>
      <c r="E112" s="19">
        <v>1</v>
      </c>
      <c r="F112" s="19">
        <v>11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</row>
    <row r="113" spans="1:14" outlineLevel="1" x14ac:dyDescent="0.2">
      <c r="B113" s="7" t="s">
        <v>199</v>
      </c>
      <c r="D113" s="27">
        <f t="shared" ref="D113:K113" si="38">D95+D101+D110+D112</f>
        <v>2419</v>
      </c>
      <c r="E113" s="27">
        <f t="shared" si="38"/>
        <v>-2396</v>
      </c>
      <c r="F113" s="27">
        <f t="shared" si="38"/>
        <v>99</v>
      </c>
      <c r="G113" s="27">
        <f t="shared" si="38"/>
        <v>-1697.6298989701372</v>
      </c>
      <c r="H113" s="27">
        <f t="shared" si="38"/>
        <v>329.28971795436428</v>
      </c>
      <c r="I113" s="27">
        <f t="shared" si="38"/>
        <v>234.74054275324215</v>
      </c>
      <c r="J113" s="27">
        <f t="shared" si="38"/>
        <v>295.71294159114314</v>
      </c>
      <c r="K113" s="27">
        <f t="shared" si="38"/>
        <v>474.46184925484249</v>
      </c>
    </row>
    <row r="114" spans="1:14" outlineLevel="1" x14ac:dyDescent="0.2">
      <c r="B114" s="6" t="s">
        <v>200</v>
      </c>
      <c r="D114" s="19">
        <v>7441</v>
      </c>
      <c r="E114" s="15">
        <f t="shared" ref="E114:K114" si="39">D115</f>
        <v>9860</v>
      </c>
      <c r="F114" s="15">
        <f t="shared" si="39"/>
        <v>7464</v>
      </c>
      <c r="G114" s="15">
        <f t="shared" si="39"/>
        <v>7563</v>
      </c>
      <c r="H114" s="15">
        <f t="shared" si="39"/>
        <v>5865.3701010298628</v>
      </c>
      <c r="I114" s="15">
        <f t="shared" si="39"/>
        <v>6194.6598189842271</v>
      </c>
      <c r="J114" s="15">
        <f t="shared" si="39"/>
        <v>6429.4003617374692</v>
      </c>
      <c r="K114" s="15">
        <f t="shared" si="39"/>
        <v>6725.1133033286123</v>
      </c>
    </row>
    <row r="115" spans="1:14" outlineLevel="1" x14ac:dyDescent="0.2">
      <c r="B115" s="7" t="s">
        <v>201</v>
      </c>
      <c r="D115" s="27">
        <f t="shared" ref="D115:K115" si="40">D114+D113</f>
        <v>9860</v>
      </c>
      <c r="E115" s="27">
        <f t="shared" si="40"/>
        <v>7464</v>
      </c>
      <c r="F115" s="27">
        <f t="shared" si="40"/>
        <v>7563</v>
      </c>
      <c r="G115" s="27">
        <f t="shared" si="40"/>
        <v>5865.3701010298628</v>
      </c>
      <c r="H115" s="27">
        <f t="shared" si="40"/>
        <v>6194.6598189842271</v>
      </c>
      <c r="I115" s="27">
        <f t="shared" si="40"/>
        <v>6429.4003617374692</v>
      </c>
      <c r="J115" s="27">
        <f t="shared" si="40"/>
        <v>6725.1133033286123</v>
      </c>
      <c r="K115" s="27">
        <f t="shared" si="40"/>
        <v>7199.5751525834548</v>
      </c>
    </row>
    <row r="117" spans="1:14" ht="20" x14ac:dyDescent="0.25">
      <c r="A117" s="8" t="s">
        <v>27</v>
      </c>
      <c r="B117" s="11" t="s">
        <v>202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outlineLevel="1" x14ac:dyDescent="0.2"/>
    <row r="119" spans="1:14" outlineLevel="1" x14ac:dyDescent="0.2">
      <c r="B119" s="6" t="s">
        <v>55</v>
      </c>
      <c r="D119" s="18" t="s">
        <v>56</v>
      </c>
      <c r="E119" s="18" t="s">
        <v>57</v>
      </c>
      <c r="F119" s="18" t="s">
        <v>39</v>
      </c>
      <c r="G119" s="18" t="s">
        <v>58</v>
      </c>
      <c r="H119" s="18" t="s">
        <v>59</v>
      </c>
      <c r="I119" s="18" t="s">
        <v>60</v>
      </c>
      <c r="J119" s="18" t="s">
        <v>61</v>
      </c>
      <c r="K119" s="18" t="s">
        <v>40</v>
      </c>
    </row>
    <row r="120" spans="1:14" outlineLevel="1" x14ac:dyDescent="0.2"/>
    <row r="121" spans="1:14" outlineLevel="1" x14ac:dyDescent="0.2">
      <c r="B121" s="6" t="s">
        <v>203</v>
      </c>
      <c r="D121" s="15">
        <f t="shared" ref="D121:K121" si="41">D18</f>
        <v>51362</v>
      </c>
      <c r="E121" s="15">
        <f t="shared" si="41"/>
        <v>46309</v>
      </c>
      <c r="F121" s="15">
        <f t="shared" si="41"/>
        <v>46398</v>
      </c>
      <c r="G121" s="15">
        <f t="shared" si="41"/>
        <v>46444.439000000006</v>
      </c>
      <c r="H121" s="15">
        <f t="shared" si="41"/>
        <v>47821.36937</v>
      </c>
      <c r="I121" s="15">
        <f t="shared" si="41"/>
        <v>49248.836976500002</v>
      </c>
      <c r="J121" s="15">
        <f t="shared" si="41"/>
        <v>50751.785553116897</v>
      </c>
      <c r="K121" s="15">
        <f t="shared" si="41"/>
        <v>52420.805579990483</v>
      </c>
    </row>
    <row r="122" spans="1:14" outlineLevel="1" x14ac:dyDescent="0.2">
      <c r="B122" s="6" t="s">
        <v>128</v>
      </c>
      <c r="D122" s="15">
        <f t="shared" ref="D122:K122" si="42">-D20</f>
        <v>28475</v>
      </c>
      <c r="E122" s="15">
        <f t="shared" si="42"/>
        <v>26519</v>
      </c>
      <c r="F122" s="15">
        <f t="shared" si="42"/>
        <v>26487</v>
      </c>
      <c r="G122" s="15">
        <f t="shared" si="42"/>
        <v>26241.108035000001</v>
      </c>
      <c r="H122" s="15">
        <f t="shared" si="42"/>
        <v>26779.966847200001</v>
      </c>
      <c r="I122" s="15">
        <f t="shared" si="42"/>
        <v>27431.602195910498</v>
      </c>
      <c r="J122" s="15">
        <f t="shared" si="42"/>
        <v>28167.240981979874</v>
      </c>
      <c r="K122" s="15">
        <f t="shared" si="42"/>
        <v>28988.705485734732</v>
      </c>
    </row>
    <row r="123" spans="1:14" outlineLevel="1" x14ac:dyDescent="0.2"/>
    <row r="124" spans="1:14" outlineLevel="1" x14ac:dyDescent="0.2">
      <c r="B124" s="6" t="s">
        <v>80</v>
      </c>
      <c r="C124" s="4" t="s">
        <v>81</v>
      </c>
      <c r="D124" s="22">
        <f>Inputs!D72</f>
        <v>31.460126163311397</v>
      </c>
      <c r="E124" s="22">
        <f>Inputs!E72</f>
        <v>37.178626184974839</v>
      </c>
      <c r="F124" s="22">
        <f>Inputs!F72</f>
        <v>46.657506789085737</v>
      </c>
      <c r="G124" s="22">
        <f>Inputs!G72</f>
        <v>46.7</v>
      </c>
      <c r="H124" s="22">
        <f>Inputs!H72</f>
        <v>45</v>
      </c>
      <c r="I124" s="22">
        <f>Inputs!I72</f>
        <v>45</v>
      </c>
      <c r="J124" s="22">
        <f>Inputs!J72</f>
        <v>45</v>
      </c>
      <c r="K124" s="22">
        <f>Inputs!K72</f>
        <v>45</v>
      </c>
    </row>
    <row r="125" spans="1:14" outlineLevel="1" x14ac:dyDescent="0.2">
      <c r="B125" s="6" t="s">
        <v>204</v>
      </c>
      <c r="D125" s="19">
        <v>4427</v>
      </c>
      <c r="E125" s="19">
        <v>4717</v>
      </c>
      <c r="F125" s="19">
        <v>5931</v>
      </c>
      <c r="G125" s="15">
        <f>G124/Inputs!G7*G121</f>
        <v>5942.3432912328781</v>
      </c>
      <c r="H125" s="15">
        <f>H124/Inputs!H7*H121</f>
        <v>5895.7852647945201</v>
      </c>
      <c r="I125" s="15">
        <f>I124/Inputs!I7*I121</f>
        <v>6071.774421760274</v>
      </c>
      <c r="J125" s="15">
        <f>J124/Inputs!J7*J121</f>
        <v>6257.0694517541378</v>
      </c>
      <c r="K125" s="15">
        <f>K124/Inputs!K7*K121</f>
        <v>6462.8390441084157</v>
      </c>
    </row>
    <row r="126" spans="1:14" outlineLevel="1" x14ac:dyDescent="0.2"/>
    <row r="127" spans="1:14" outlineLevel="1" x14ac:dyDescent="0.2">
      <c r="B127" s="6" t="s">
        <v>82</v>
      </c>
      <c r="C127" s="4" t="s">
        <v>81</v>
      </c>
      <c r="D127" s="22">
        <f>Inputs!D73</f>
        <v>96.380509218612829</v>
      </c>
      <c r="E127" s="22">
        <f>Inputs!E73</f>
        <v>103.07647347185038</v>
      </c>
      <c r="F127" s="22">
        <f>Inputs!F73</f>
        <v>103.36636840714313</v>
      </c>
      <c r="G127" s="22">
        <f>Inputs!G73</f>
        <v>97</v>
      </c>
      <c r="H127" s="22">
        <f>Inputs!H73</f>
        <v>96</v>
      </c>
      <c r="I127" s="22">
        <f>Inputs!I73</f>
        <v>95</v>
      </c>
      <c r="J127" s="22">
        <f>Inputs!J73</f>
        <v>95</v>
      </c>
      <c r="K127" s="22">
        <f>Inputs!K73</f>
        <v>95</v>
      </c>
    </row>
    <row r="128" spans="1:14" outlineLevel="1" x14ac:dyDescent="0.2">
      <c r="B128" s="6" t="s">
        <v>205</v>
      </c>
      <c r="D128" s="19">
        <v>7519</v>
      </c>
      <c r="E128" s="19">
        <v>7489</v>
      </c>
      <c r="F128" s="19">
        <v>7501</v>
      </c>
      <c r="G128" s="15">
        <f>G127/Inputs!G7*G122</f>
        <v>6973.66432710959</v>
      </c>
      <c r="H128" s="15">
        <f>H127/Inputs!H7*H122</f>
        <v>7043.49812967452</v>
      </c>
      <c r="I128" s="15">
        <f>I127/Inputs!I7*I122</f>
        <v>7139.7320783876639</v>
      </c>
      <c r="J128" s="15">
        <f>J127/Inputs!J7*J122</f>
        <v>7331.1997076385969</v>
      </c>
      <c r="K128" s="15">
        <f>K127/Inputs!K7*K122</f>
        <v>7545.0055373830119</v>
      </c>
    </row>
    <row r="129" spans="2:11" outlineLevel="1" x14ac:dyDescent="0.2"/>
    <row r="130" spans="2:11" outlineLevel="1" x14ac:dyDescent="0.2">
      <c r="B130" s="6" t="s">
        <v>83</v>
      </c>
      <c r="C130" s="4" t="s">
        <v>81</v>
      </c>
      <c r="D130" s="22">
        <f>Inputs!D74</f>
        <v>36.621773485513607</v>
      </c>
      <c r="E130" s="22">
        <f>Inputs!E74</f>
        <v>47.883969983785214</v>
      </c>
      <c r="F130" s="22">
        <f>Inputs!F74</f>
        <v>49.60924226979273</v>
      </c>
      <c r="G130" s="22">
        <f>Inputs!G74</f>
        <v>46.5</v>
      </c>
      <c r="H130" s="22">
        <f>Inputs!H74</f>
        <v>47.5</v>
      </c>
      <c r="I130" s="22">
        <f>Inputs!I74</f>
        <v>48</v>
      </c>
      <c r="J130" s="22">
        <f>Inputs!J74</f>
        <v>48</v>
      </c>
      <c r="K130" s="22">
        <f>Inputs!K74</f>
        <v>48</v>
      </c>
    </row>
    <row r="131" spans="2:11" outlineLevel="1" x14ac:dyDescent="0.2">
      <c r="B131" s="6" t="s">
        <v>206</v>
      </c>
      <c r="D131" s="19">
        <v>2857</v>
      </c>
      <c r="E131" s="19">
        <v>3479</v>
      </c>
      <c r="F131" s="19">
        <v>3600</v>
      </c>
      <c r="G131" s="15">
        <f>G130/Inputs!G7*G122</f>
        <v>3343.0452702123289</v>
      </c>
      <c r="H131" s="15">
        <f>H130/Inputs!H7*H122</f>
        <v>3485.0641787452055</v>
      </c>
      <c r="I131" s="15">
        <f>I130/Inputs!I7*I122</f>
        <v>3607.4435764485033</v>
      </c>
      <c r="J131" s="15">
        <f>J130/Inputs!J7*J122</f>
        <v>3704.185115438449</v>
      </c>
      <c r="K131" s="15">
        <f>K130/Inputs!K7*K122</f>
        <v>3812.2133241514166</v>
      </c>
    </row>
    <row r="132" spans="2:11" outlineLevel="1" x14ac:dyDescent="0.2"/>
    <row r="133" spans="2:11" outlineLevel="1" x14ac:dyDescent="0.2">
      <c r="B133" s="7" t="s">
        <v>207</v>
      </c>
    </row>
    <row r="134" spans="2:11" outlineLevel="1" x14ac:dyDescent="0.2">
      <c r="B134" s="6" t="s">
        <v>204</v>
      </c>
      <c r="E134" s="15">
        <f t="shared" ref="E134:K134" si="43">-(E125-D125)</f>
        <v>-290</v>
      </c>
      <c r="F134" s="15">
        <f t="shared" si="43"/>
        <v>-1214</v>
      </c>
      <c r="G134" s="15">
        <f t="shared" si="43"/>
        <v>-11.343291232878073</v>
      </c>
      <c r="H134" s="15">
        <f t="shared" si="43"/>
        <v>46.558026438357956</v>
      </c>
      <c r="I134" s="15">
        <f t="shared" si="43"/>
        <v>-175.98915696575386</v>
      </c>
      <c r="J134" s="15">
        <f t="shared" si="43"/>
        <v>-185.29502999386386</v>
      </c>
      <c r="K134" s="15">
        <f t="shared" si="43"/>
        <v>-205.76959235427785</v>
      </c>
    </row>
    <row r="135" spans="2:11" outlineLevel="1" x14ac:dyDescent="0.2">
      <c r="B135" s="6" t="s">
        <v>205</v>
      </c>
      <c r="E135" s="15">
        <f t="shared" ref="E135:K135" si="44">-(E128-D128)</f>
        <v>30</v>
      </c>
      <c r="F135" s="15">
        <f t="shared" si="44"/>
        <v>-12</v>
      </c>
      <c r="G135" s="15">
        <f t="shared" si="44"/>
        <v>527.33567289041002</v>
      </c>
      <c r="H135" s="15">
        <f t="shared" si="44"/>
        <v>-69.833802564930011</v>
      </c>
      <c r="I135" s="15">
        <f t="shared" si="44"/>
        <v>-96.233948713143945</v>
      </c>
      <c r="J135" s="15">
        <f t="shared" si="44"/>
        <v>-191.46762925093299</v>
      </c>
      <c r="K135" s="15">
        <f t="shared" si="44"/>
        <v>-213.80582974441495</v>
      </c>
    </row>
    <row r="136" spans="2:11" outlineLevel="1" x14ac:dyDescent="0.2">
      <c r="B136" s="6" t="s">
        <v>206</v>
      </c>
      <c r="E136" s="15">
        <f t="shared" ref="E136:K136" si="45">(E131-D131)</f>
        <v>622</v>
      </c>
      <c r="F136" s="15">
        <f t="shared" si="45"/>
        <v>121</v>
      </c>
      <c r="G136" s="15">
        <f t="shared" si="45"/>
        <v>-256.95472978767111</v>
      </c>
      <c r="H136" s="15">
        <f t="shared" si="45"/>
        <v>142.01890853287659</v>
      </c>
      <c r="I136" s="15">
        <f t="shared" si="45"/>
        <v>122.37939770329785</v>
      </c>
      <c r="J136" s="15">
        <f t="shared" si="45"/>
        <v>96.741538989945639</v>
      </c>
      <c r="K136" s="15">
        <f t="shared" si="45"/>
        <v>108.02820871296763</v>
      </c>
    </row>
    <row r="137" spans="2:11" outlineLevel="1" x14ac:dyDescent="0.2">
      <c r="B137" s="7" t="s">
        <v>208</v>
      </c>
      <c r="E137" s="27">
        <f t="shared" ref="E137:K137" si="46">SUM(E134:E136)</f>
        <v>362</v>
      </c>
      <c r="F137" s="27">
        <f t="shared" si="46"/>
        <v>-1105</v>
      </c>
      <c r="G137" s="27">
        <f t="shared" si="46"/>
        <v>259.03765186986084</v>
      </c>
      <c r="H137" s="27">
        <f t="shared" si="46"/>
        <v>118.74313240630454</v>
      </c>
      <c r="I137" s="27">
        <f t="shared" si="46"/>
        <v>-149.84370797559995</v>
      </c>
      <c r="J137" s="27">
        <f t="shared" si="46"/>
        <v>-280.02112025485121</v>
      </c>
      <c r="K137" s="27">
        <f t="shared" si="46"/>
        <v>-311.54721338572517</v>
      </c>
    </row>
    <row r="138" spans="2:11" outlineLevel="1" x14ac:dyDescent="0.2"/>
    <row r="139" spans="2:11" outlineLevel="1" x14ac:dyDescent="0.2">
      <c r="B139" s="7" t="s">
        <v>209</v>
      </c>
    </row>
    <row r="140" spans="2:11" outlineLevel="1" x14ac:dyDescent="0.2">
      <c r="B140" s="6" t="s">
        <v>210</v>
      </c>
      <c r="D140" s="15">
        <f>D143+D141-D142</f>
        <v>4984</v>
      </c>
      <c r="E140" s="15">
        <f t="shared" ref="E140:K140" si="47">D143</f>
        <v>5000</v>
      </c>
      <c r="F140" s="15">
        <f t="shared" si="47"/>
        <v>4828</v>
      </c>
      <c r="G140" s="15">
        <f t="shared" si="47"/>
        <v>4796</v>
      </c>
      <c r="H140" s="15">
        <f t="shared" si="47"/>
        <v>4749.5555609999992</v>
      </c>
      <c r="I140" s="15">
        <f t="shared" si="47"/>
        <v>4749.5555609999992</v>
      </c>
      <c r="J140" s="15">
        <f t="shared" si="47"/>
        <v>4749.5555609999992</v>
      </c>
      <c r="K140" s="15">
        <f t="shared" si="47"/>
        <v>4749.5555609999992</v>
      </c>
    </row>
    <row r="141" spans="2:11" outlineLevel="1" x14ac:dyDescent="0.2">
      <c r="B141" s="6" t="s">
        <v>211</v>
      </c>
      <c r="D141" s="19">
        <v>-812</v>
      </c>
      <c r="E141" s="19">
        <v>-430</v>
      </c>
      <c r="F141" s="19">
        <v>-684</v>
      </c>
      <c r="G141" s="15">
        <f>-G18*Inputs!G79</f>
        <v>-743.11102400000016</v>
      </c>
      <c r="H141" s="15">
        <f>-H18*Inputs!H79</f>
        <v>-812.96327929000006</v>
      </c>
      <c r="I141" s="15">
        <f>-I18*Inputs!I79</f>
        <v>-837.23022860050014</v>
      </c>
      <c r="J141" s="15">
        <f>-J18*Inputs!J79</f>
        <v>-862.78035440298731</v>
      </c>
      <c r="K141" s="15">
        <f>-K18*Inputs!K79</f>
        <v>-891.15369485983831</v>
      </c>
    </row>
    <row r="142" spans="2:11" outlineLevel="1" x14ac:dyDescent="0.2">
      <c r="B142" s="6" t="s">
        <v>212</v>
      </c>
      <c r="D142" s="19">
        <v>-796</v>
      </c>
      <c r="E142" s="19">
        <v>-775</v>
      </c>
      <c r="F142" s="19">
        <v>-747</v>
      </c>
      <c r="G142" s="15">
        <f>-G18*Inputs!G86</f>
        <v>-789.55546300000015</v>
      </c>
      <c r="H142" s="15">
        <f>-H18*Inputs!H86</f>
        <v>-812.96327929000006</v>
      </c>
      <c r="I142" s="15">
        <f>-I18*Inputs!I86</f>
        <v>-837.23022860050014</v>
      </c>
      <c r="J142" s="15">
        <f>-J18*Inputs!J86</f>
        <v>-862.78035440298731</v>
      </c>
      <c r="K142" s="15">
        <f>-K18*Inputs!K86</f>
        <v>-891.15369485983831</v>
      </c>
    </row>
    <row r="143" spans="2:11" outlineLevel="1" x14ac:dyDescent="0.2">
      <c r="B143" s="7" t="s">
        <v>213</v>
      </c>
      <c r="D143" s="32">
        <v>5000</v>
      </c>
      <c r="E143" s="32">
        <v>4828</v>
      </c>
      <c r="F143" s="32">
        <v>4796</v>
      </c>
      <c r="G143" s="27">
        <f>G140-G141+G142</f>
        <v>4749.5555609999992</v>
      </c>
      <c r="H143" s="27">
        <f>H140-H141+H142</f>
        <v>4749.5555609999992</v>
      </c>
      <c r="I143" s="27">
        <f>I140-I141+I142</f>
        <v>4749.5555609999992</v>
      </c>
      <c r="J143" s="27">
        <f>J140-J141+J142</f>
        <v>4749.5555609999992</v>
      </c>
      <c r="K143" s="27">
        <f>K140-K141+K142</f>
        <v>4749.5555609999992</v>
      </c>
    </row>
    <row r="145" spans="1:14" ht="20" x14ac:dyDescent="0.25">
      <c r="A145" s="8" t="s">
        <v>27</v>
      </c>
      <c r="B145" s="11" t="s">
        <v>214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outlineLevel="1" x14ac:dyDescent="0.2"/>
    <row r="147" spans="1:14" outlineLevel="1" x14ac:dyDescent="0.2">
      <c r="B147" s="6" t="s">
        <v>55</v>
      </c>
      <c r="D147" s="18" t="s">
        <v>56</v>
      </c>
      <c r="E147" s="18" t="s">
        <v>57</v>
      </c>
      <c r="F147" s="18" t="s">
        <v>39</v>
      </c>
      <c r="G147" s="18" t="s">
        <v>58</v>
      </c>
      <c r="H147" s="18" t="s">
        <v>59</v>
      </c>
      <c r="I147" s="18" t="s">
        <v>60</v>
      </c>
      <c r="J147" s="18" t="s">
        <v>61</v>
      </c>
      <c r="K147" s="18" t="s">
        <v>40</v>
      </c>
    </row>
    <row r="148" spans="1:14" outlineLevel="1" x14ac:dyDescent="0.2"/>
    <row r="149" spans="1:14" outlineLevel="1" x14ac:dyDescent="0.2">
      <c r="B149" s="7" t="s">
        <v>215</v>
      </c>
    </row>
    <row r="150" spans="1:14" outlineLevel="1" x14ac:dyDescent="0.2">
      <c r="B150" s="6" t="s">
        <v>210</v>
      </c>
      <c r="D150" s="15">
        <f>D152-D151</f>
        <v>8927</v>
      </c>
      <c r="E150" s="15">
        <f t="shared" ref="E150:K150" si="48">D152</f>
        <v>8903</v>
      </c>
      <c r="F150" s="15">
        <f t="shared" si="48"/>
        <v>7961</v>
      </c>
      <c r="G150" s="15">
        <f t="shared" si="48"/>
        <v>7942</v>
      </c>
      <c r="H150" s="15">
        <f t="shared" si="48"/>
        <v>5942</v>
      </c>
      <c r="I150" s="15">
        <f t="shared" si="48"/>
        <v>5942</v>
      </c>
      <c r="J150" s="15">
        <f t="shared" si="48"/>
        <v>5942</v>
      </c>
      <c r="K150" s="15">
        <f t="shared" si="48"/>
        <v>5942</v>
      </c>
    </row>
    <row r="151" spans="1:14" outlineLevel="1" x14ac:dyDescent="0.2">
      <c r="B151" s="6" t="s">
        <v>216</v>
      </c>
      <c r="D151" s="19">
        <v>-24</v>
      </c>
      <c r="E151" s="19">
        <v>-942</v>
      </c>
      <c r="F151" s="19">
        <v>-19</v>
      </c>
      <c r="G151" s="15">
        <f>Inputs!G91</f>
        <v>-2000</v>
      </c>
      <c r="H151" s="15">
        <f>Inputs!H91</f>
        <v>0</v>
      </c>
      <c r="I151" s="15">
        <f>Inputs!I91</f>
        <v>0</v>
      </c>
      <c r="J151" s="15">
        <f>Inputs!J91</f>
        <v>0</v>
      </c>
      <c r="K151" s="15">
        <f>Inputs!K91</f>
        <v>0</v>
      </c>
    </row>
    <row r="152" spans="1:14" outlineLevel="1" x14ac:dyDescent="0.2">
      <c r="B152" s="7" t="s">
        <v>217</v>
      </c>
      <c r="D152" s="32">
        <v>8903</v>
      </c>
      <c r="E152" s="32">
        <v>7961</v>
      </c>
      <c r="F152" s="32">
        <v>7942</v>
      </c>
      <c r="G152" s="27">
        <f>SUM(G150:G151)</f>
        <v>5942</v>
      </c>
      <c r="H152" s="27">
        <f>SUM(H150:H151)</f>
        <v>5942</v>
      </c>
      <c r="I152" s="27">
        <f>SUM(I150:I151)</f>
        <v>5942</v>
      </c>
      <c r="J152" s="27">
        <f>SUM(J150:J151)</f>
        <v>5942</v>
      </c>
      <c r="K152" s="27">
        <f>SUM(K150:K151)</f>
        <v>5942</v>
      </c>
    </row>
    <row r="153" spans="1:14" outlineLevel="1" x14ac:dyDescent="0.2"/>
    <row r="154" spans="1:14" outlineLevel="1" x14ac:dyDescent="0.2">
      <c r="B154" s="6" t="s">
        <v>91</v>
      </c>
      <c r="G154" s="14">
        <f>Inputs!G92</f>
        <v>5.1999999999999998E-2</v>
      </c>
      <c r="H154" s="14">
        <f>Inputs!H92</f>
        <v>5.1999999999999998E-2</v>
      </c>
      <c r="I154" s="14">
        <f>Inputs!I92</f>
        <v>5.1999999999999998E-2</v>
      </c>
      <c r="J154" s="14">
        <f>Inputs!J92</f>
        <v>5.1999999999999998E-2</v>
      </c>
      <c r="K154" s="14">
        <f>Inputs!K92</f>
        <v>5.1999999999999998E-2</v>
      </c>
    </row>
    <row r="155" spans="1:14" outlineLevel="1" x14ac:dyDescent="0.2">
      <c r="B155" s="6" t="s">
        <v>218</v>
      </c>
      <c r="G155" s="15">
        <f>-G150*G154</f>
        <v>-412.98399999999998</v>
      </c>
      <c r="H155" s="15">
        <f>-H150*H154</f>
        <v>-308.98399999999998</v>
      </c>
      <c r="I155" s="15">
        <f>-I150*I154</f>
        <v>-308.98399999999998</v>
      </c>
      <c r="J155" s="15">
        <f>-J150*J154</f>
        <v>-308.98399999999998</v>
      </c>
      <c r="K155" s="15">
        <f>-K150*K154</f>
        <v>-308.98399999999998</v>
      </c>
    </row>
    <row r="156" spans="1:14" outlineLevel="1" x14ac:dyDescent="0.2">
      <c r="B156" s="33" t="s">
        <v>219</v>
      </c>
    </row>
    <row r="157" spans="1:14" outlineLevel="1" x14ac:dyDescent="0.2"/>
    <row r="158" spans="1:14" outlineLevel="1" x14ac:dyDescent="0.2">
      <c r="B158" s="7" t="s">
        <v>220</v>
      </c>
    </row>
    <row r="159" spans="1:14" outlineLevel="1" x14ac:dyDescent="0.2">
      <c r="B159" s="6" t="s">
        <v>210</v>
      </c>
      <c r="D159" s="15">
        <f>D161-D160</f>
        <v>0</v>
      </c>
      <c r="E159" s="15">
        <f t="shared" ref="E159:K159" si="49">D161</f>
        <v>0</v>
      </c>
      <c r="F159" s="15">
        <f t="shared" si="49"/>
        <v>0</v>
      </c>
      <c r="G159" s="15">
        <f t="shared" si="49"/>
        <v>0</v>
      </c>
      <c r="H159" s="15">
        <f t="shared" si="49"/>
        <v>0</v>
      </c>
      <c r="I159" s="15">
        <f t="shared" si="49"/>
        <v>0</v>
      </c>
      <c r="J159" s="15">
        <f t="shared" si="49"/>
        <v>0</v>
      </c>
      <c r="K159" s="15">
        <f t="shared" si="49"/>
        <v>0</v>
      </c>
    </row>
    <row r="160" spans="1:14" outlineLevel="1" x14ac:dyDescent="0.2">
      <c r="B160" s="6" t="s">
        <v>221</v>
      </c>
      <c r="D160" s="19">
        <v>0</v>
      </c>
      <c r="E160" s="19">
        <v>0</v>
      </c>
      <c r="F160" s="19">
        <v>0</v>
      </c>
      <c r="G160" s="15">
        <f>G105</f>
        <v>0</v>
      </c>
      <c r="H160" s="15">
        <f>H105</f>
        <v>0</v>
      </c>
      <c r="I160" s="15">
        <f>I105</f>
        <v>0</v>
      </c>
      <c r="J160" s="15">
        <f>J105</f>
        <v>0</v>
      </c>
      <c r="K160" s="15">
        <f>K105</f>
        <v>0</v>
      </c>
    </row>
    <row r="161" spans="2:11" outlineLevel="1" x14ac:dyDescent="0.2">
      <c r="B161" s="7" t="s">
        <v>222</v>
      </c>
      <c r="D161" s="19">
        <v>0</v>
      </c>
      <c r="E161" s="19">
        <v>0</v>
      </c>
      <c r="F161" s="19">
        <v>0</v>
      </c>
      <c r="G161" s="27">
        <f>SUM(G159:G160)</f>
        <v>0</v>
      </c>
      <c r="H161" s="27">
        <f>SUM(H159:H160)</f>
        <v>0</v>
      </c>
      <c r="I161" s="27">
        <f>SUM(I159:I160)</f>
        <v>0</v>
      </c>
      <c r="J161" s="27">
        <f>SUM(J159:J160)</f>
        <v>0</v>
      </c>
      <c r="K161" s="27">
        <f>SUM(K159:K160)</f>
        <v>0</v>
      </c>
    </row>
    <row r="162" spans="2:11" outlineLevel="1" x14ac:dyDescent="0.2"/>
    <row r="163" spans="2:11" outlineLevel="1" x14ac:dyDescent="0.2">
      <c r="B163" s="6" t="s">
        <v>92</v>
      </c>
      <c r="G163" s="14">
        <f>Inputs!G93</f>
        <v>6.2E-2</v>
      </c>
      <c r="H163" s="14">
        <f>Inputs!H93</f>
        <v>6.2E-2</v>
      </c>
      <c r="I163" s="14">
        <f>Inputs!I93</f>
        <v>6.2E-2</v>
      </c>
      <c r="J163" s="14">
        <f>Inputs!J93</f>
        <v>6.2E-2</v>
      </c>
      <c r="K163" s="14">
        <f>Inputs!K93</f>
        <v>6.2E-2</v>
      </c>
    </row>
    <row r="164" spans="2:11" outlineLevel="1" x14ac:dyDescent="0.2">
      <c r="B164" s="6" t="s">
        <v>223</v>
      </c>
      <c r="G164" s="15">
        <f>-G159*G163</f>
        <v>0</v>
      </c>
      <c r="H164" s="15">
        <f>-H159*H163</f>
        <v>0</v>
      </c>
      <c r="I164" s="15">
        <f>-I159*I163</f>
        <v>0</v>
      </c>
      <c r="J164" s="15">
        <f>-J159*J163</f>
        <v>0</v>
      </c>
      <c r="K164" s="15">
        <f>-K159*K163</f>
        <v>0</v>
      </c>
    </row>
    <row r="165" spans="2:11" outlineLevel="1" x14ac:dyDescent="0.2">
      <c r="B165" s="33" t="s">
        <v>224</v>
      </c>
    </row>
    <row r="166" spans="2:11" outlineLevel="1" x14ac:dyDescent="0.2">
      <c r="B166" s="33"/>
    </row>
    <row r="167" spans="2:11" outlineLevel="1" x14ac:dyDescent="0.2">
      <c r="B167" s="7" t="s">
        <v>225</v>
      </c>
    </row>
    <row r="168" spans="2:11" outlineLevel="1" x14ac:dyDescent="0.2">
      <c r="B168" s="6" t="s">
        <v>210</v>
      </c>
      <c r="D168" s="15">
        <f t="shared" ref="D168:K168" si="50">D114</f>
        <v>7441</v>
      </c>
      <c r="E168" s="15">
        <f t="shared" si="50"/>
        <v>9860</v>
      </c>
      <c r="F168" s="15">
        <f t="shared" si="50"/>
        <v>7464</v>
      </c>
      <c r="G168" s="15">
        <f t="shared" si="50"/>
        <v>7563</v>
      </c>
      <c r="H168" s="15">
        <f t="shared" si="50"/>
        <v>5865.3701010298628</v>
      </c>
      <c r="I168" s="15">
        <f t="shared" si="50"/>
        <v>6194.6598189842271</v>
      </c>
      <c r="J168" s="15">
        <f t="shared" si="50"/>
        <v>6429.4003617374692</v>
      </c>
      <c r="K168" s="15">
        <f t="shared" si="50"/>
        <v>6725.1133033286123</v>
      </c>
    </row>
    <row r="169" spans="2:11" outlineLevel="1" x14ac:dyDescent="0.2">
      <c r="B169" s="6" t="s">
        <v>94</v>
      </c>
      <c r="G169" s="14">
        <f>Inputs!G95</f>
        <v>0.04</v>
      </c>
      <c r="H169" s="14">
        <f>Inputs!H95</f>
        <v>0.04</v>
      </c>
      <c r="I169" s="14">
        <f>Inputs!I95</f>
        <v>0.04</v>
      </c>
      <c r="J169" s="14">
        <f>Inputs!J95</f>
        <v>0.04</v>
      </c>
      <c r="K169" s="14">
        <f>Inputs!K95</f>
        <v>0.04</v>
      </c>
    </row>
    <row r="170" spans="2:11" outlineLevel="1" x14ac:dyDescent="0.2">
      <c r="B170" s="6" t="s">
        <v>226</v>
      </c>
      <c r="G170" s="15">
        <f>G168*G169</f>
        <v>302.52</v>
      </c>
      <c r="H170" s="15">
        <f>H168*H169</f>
        <v>234.6148040411945</v>
      </c>
      <c r="I170" s="15">
        <f>I168*I169</f>
        <v>247.78639275936908</v>
      </c>
      <c r="J170" s="15">
        <f>J168*J169</f>
        <v>257.1760144694988</v>
      </c>
      <c r="K170" s="15">
        <f>K168*K169</f>
        <v>269.00453213314449</v>
      </c>
    </row>
    <row r="171" spans="2:11" outlineLevel="1" x14ac:dyDescent="0.2"/>
    <row r="172" spans="2:11" outlineLevel="1" x14ac:dyDescent="0.2">
      <c r="B172" s="7" t="s">
        <v>227</v>
      </c>
    </row>
    <row r="173" spans="2:11" outlineLevel="1" x14ac:dyDescent="0.2">
      <c r="B173" s="6" t="s">
        <v>210</v>
      </c>
      <c r="D173" s="15">
        <f>D175-D174</f>
        <v>12608</v>
      </c>
      <c r="E173" s="15">
        <f t="shared" ref="E173:K173" si="51">D175</f>
        <v>13412</v>
      </c>
      <c r="F173" s="15">
        <f t="shared" si="51"/>
        <v>14198</v>
      </c>
      <c r="G173" s="15">
        <f t="shared" si="51"/>
        <v>15161</v>
      </c>
      <c r="H173" s="15">
        <f t="shared" si="51"/>
        <v>15904.111024</v>
      </c>
      <c r="I173" s="15">
        <f t="shared" si="51"/>
        <v>16669.252933920001</v>
      </c>
      <c r="J173" s="15">
        <f t="shared" si="51"/>
        <v>17457.234325543999</v>
      </c>
      <c r="K173" s="15">
        <f t="shared" si="51"/>
        <v>18269.262894393869</v>
      </c>
    </row>
    <row r="174" spans="2:11" outlineLevel="1" x14ac:dyDescent="0.2">
      <c r="B174" s="6" t="s">
        <v>228</v>
      </c>
      <c r="D174" s="19">
        <v>804</v>
      </c>
      <c r="E174" s="19">
        <v>709</v>
      </c>
      <c r="F174" s="19">
        <v>715</v>
      </c>
      <c r="G174" s="15">
        <f>G18*Inputs!G97</f>
        <v>743.11102400000016</v>
      </c>
      <c r="H174" s="15">
        <f>H18*Inputs!H97</f>
        <v>765.14190991999999</v>
      </c>
      <c r="I174" s="15">
        <f>I18*Inputs!I97</f>
        <v>787.98139162400003</v>
      </c>
      <c r="J174" s="15">
        <f>J18*Inputs!J97</f>
        <v>812.02856884987034</v>
      </c>
      <c r="K174" s="15">
        <f>K18*Inputs!K97</f>
        <v>838.73288927984777</v>
      </c>
    </row>
    <row r="175" spans="2:11" outlineLevel="1" x14ac:dyDescent="0.2">
      <c r="B175" s="7" t="s">
        <v>229</v>
      </c>
      <c r="D175" s="32">
        <v>13412</v>
      </c>
      <c r="E175" s="32">
        <v>14198</v>
      </c>
      <c r="F175" s="32">
        <v>15161</v>
      </c>
      <c r="G175" s="27">
        <f>SUM(G173:G174)</f>
        <v>15904.111024</v>
      </c>
      <c r="H175" s="27">
        <f>SUM(H173:H174)</f>
        <v>16669.252933920001</v>
      </c>
      <c r="I175" s="27">
        <f>SUM(I173:I174)</f>
        <v>17457.234325543999</v>
      </c>
      <c r="J175" s="27">
        <f>SUM(J173:J174)</f>
        <v>18269.262894393869</v>
      </c>
      <c r="K175" s="27">
        <f>SUM(K173:K174)</f>
        <v>19107.995783673716</v>
      </c>
    </row>
    <row r="176" spans="2:11" outlineLevel="1" x14ac:dyDescent="0.2"/>
    <row r="177" spans="2:11" outlineLevel="1" x14ac:dyDescent="0.2">
      <c r="B177" s="7" t="s">
        <v>230</v>
      </c>
    </row>
    <row r="178" spans="2:11" outlineLevel="1" x14ac:dyDescent="0.2">
      <c r="B178" s="6" t="s">
        <v>210</v>
      </c>
      <c r="D178" s="15">
        <f>D182-D179-D180-D181</f>
        <v>1684</v>
      </c>
      <c r="E178" s="15">
        <f t="shared" ref="E178:K178" si="52">D182</f>
        <v>965</v>
      </c>
      <c r="F178" s="15">
        <f t="shared" si="52"/>
        <v>-727</v>
      </c>
      <c r="G178" s="15">
        <f t="shared" si="52"/>
        <v>-155</v>
      </c>
      <c r="H178" s="15">
        <f t="shared" si="52"/>
        <v>-901.22301383999911</v>
      </c>
      <c r="I178" s="15">
        <f t="shared" si="52"/>
        <v>-1455.81833821194</v>
      </c>
      <c r="J178" s="15">
        <f t="shared" si="52"/>
        <v>-1859.2154791070984</v>
      </c>
      <c r="K178" s="15">
        <f t="shared" si="52"/>
        <v>-2095.5099861109743</v>
      </c>
    </row>
    <row r="179" spans="2:11" outlineLevel="1" x14ac:dyDescent="0.2">
      <c r="B179" s="6" t="s">
        <v>138</v>
      </c>
      <c r="D179" s="15">
        <f t="shared" ref="D179:K179" si="53">D34</f>
        <v>5700</v>
      </c>
      <c r="E179" s="15">
        <f t="shared" si="53"/>
        <v>3219</v>
      </c>
      <c r="F179" s="15">
        <f t="shared" si="53"/>
        <v>3108</v>
      </c>
      <c r="G179" s="15">
        <f t="shared" si="53"/>
        <v>3391.5976723200019</v>
      </c>
      <c r="H179" s="15">
        <f t="shared" si="53"/>
        <v>3845.9158870911187</v>
      </c>
      <c r="I179" s="15">
        <f t="shared" si="53"/>
        <v>4220.4090541410833</v>
      </c>
      <c r="J179" s="15">
        <f t="shared" si="53"/>
        <v>4627.76013046145</v>
      </c>
      <c r="K179" s="15">
        <f t="shared" si="53"/>
        <v>5069.1115712426672</v>
      </c>
    </row>
    <row r="180" spans="2:11" outlineLevel="1" x14ac:dyDescent="0.2">
      <c r="B180" s="6" t="s">
        <v>231</v>
      </c>
      <c r="D180" s="19">
        <v>-2169</v>
      </c>
      <c r="E180" s="19">
        <v>-2300</v>
      </c>
      <c r="F180" s="19">
        <v>-2407</v>
      </c>
      <c r="G180" s="15">
        <f>-G185*G187</f>
        <v>-2442.0218500000001</v>
      </c>
      <c r="H180" s="15">
        <f>-H185*H187</f>
        <v>-2477.5532679175003</v>
      </c>
      <c r="I180" s="15">
        <f>-I185*I187</f>
        <v>-2513.6016679657</v>
      </c>
      <c r="J180" s="15">
        <f>-J185*J187</f>
        <v>-2550.1745722346009</v>
      </c>
      <c r="K180" s="15">
        <f>-K185*K187</f>
        <v>-2587.2796122606142</v>
      </c>
    </row>
    <row r="181" spans="2:11" outlineLevel="1" x14ac:dyDescent="0.2">
      <c r="B181" s="6" t="s">
        <v>194</v>
      </c>
      <c r="D181" s="19">
        <v>-4250</v>
      </c>
      <c r="E181" s="19">
        <v>-2985</v>
      </c>
      <c r="F181" s="19">
        <v>-146</v>
      </c>
      <c r="G181" s="15">
        <f>-G34*Inputs!G98</f>
        <v>-1695.798836160001</v>
      </c>
      <c r="H181" s="15">
        <f>-H34*Inputs!H98</f>
        <v>-1922.9579435455594</v>
      </c>
      <c r="I181" s="15">
        <f>-I34*Inputs!I98</f>
        <v>-2110.2045270705416</v>
      </c>
      <c r="J181" s="15">
        <f>-J34*Inputs!J98</f>
        <v>-2313.880065230725</v>
      </c>
      <c r="K181" s="15">
        <f>-K34*Inputs!K98</f>
        <v>-2534.5557856213336</v>
      </c>
    </row>
    <row r="182" spans="2:11" outlineLevel="1" x14ac:dyDescent="0.2">
      <c r="B182" s="7" t="s">
        <v>232</v>
      </c>
      <c r="D182" s="32">
        <v>965</v>
      </c>
      <c r="E182" s="32">
        <v>-727</v>
      </c>
      <c r="F182" s="32">
        <v>-155</v>
      </c>
      <c r="G182" s="27">
        <f>SUM(G178:G181)</f>
        <v>-901.22301383999911</v>
      </c>
      <c r="H182" s="27">
        <f>SUM(H178:H181)</f>
        <v>-1455.81833821194</v>
      </c>
      <c r="I182" s="27">
        <f>SUM(I178:I181)</f>
        <v>-1859.2154791070984</v>
      </c>
      <c r="J182" s="27">
        <f>SUM(J178:J181)</f>
        <v>-2095.5099861109743</v>
      </c>
      <c r="K182" s="27">
        <f>SUM(K178:K181)</f>
        <v>-2148.2338127502549</v>
      </c>
    </row>
    <row r="183" spans="2:11" outlineLevel="1" x14ac:dyDescent="0.2"/>
    <row r="184" spans="2:11" outlineLevel="1" x14ac:dyDescent="0.2">
      <c r="B184" s="7" t="s">
        <v>233</v>
      </c>
    </row>
    <row r="185" spans="2:11" outlineLevel="1" x14ac:dyDescent="0.2">
      <c r="B185" s="6" t="s">
        <v>234</v>
      </c>
      <c r="D185" s="13">
        <f>-D180/D187</f>
        <v>1.4179250833496764</v>
      </c>
      <c r="E185" s="13">
        <f>-E180/E187</f>
        <v>1.5461145469212154</v>
      </c>
      <c r="F185" s="13">
        <f>-F180/F187</f>
        <v>1.62525320729237</v>
      </c>
      <c r="G185" s="13">
        <f>F185*(1+Inputs!G96)</f>
        <v>1.6740108035111412</v>
      </c>
      <c r="H185" s="13">
        <f>G185*(1+Inputs!H96)</f>
        <v>1.7242311276164755</v>
      </c>
      <c r="I185" s="13">
        <f>H185*(1+Inputs!I96)</f>
        <v>1.7759580614449697</v>
      </c>
      <c r="J185" s="13">
        <f>I185*(1+Inputs!J96)</f>
        <v>1.8292368032883188</v>
      </c>
      <c r="K185" s="13">
        <f>J185*(1+Inputs!K96)</f>
        <v>1.8841139073869684</v>
      </c>
    </row>
    <row r="186" spans="2:11" outlineLevel="1" x14ac:dyDescent="0.2">
      <c r="B186" s="6" t="s">
        <v>235</v>
      </c>
      <c r="D186" s="19">
        <v>1569.8</v>
      </c>
      <c r="E186" s="15">
        <f t="shared" ref="E186:K186" si="54">D187</f>
        <v>1529.7</v>
      </c>
      <c r="F186" s="15">
        <f t="shared" si="54"/>
        <v>1487.6</v>
      </c>
      <c r="G186" s="15">
        <f t="shared" si="54"/>
        <v>1481</v>
      </c>
      <c r="H186" s="15">
        <f t="shared" si="54"/>
        <v>1458.7850000000001</v>
      </c>
      <c r="I186" s="15">
        <f t="shared" si="54"/>
        <v>1436.903225</v>
      </c>
      <c r="J186" s="15">
        <f t="shared" si="54"/>
        <v>1415.349676625</v>
      </c>
      <c r="K186" s="15">
        <f t="shared" si="54"/>
        <v>1394.1194314756251</v>
      </c>
    </row>
    <row r="187" spans="2:11" outlineLevel="1" x14ac:dyDescent="0.2">
      <c r="B187" s="7" t="s">
        <v>236</v>
      </c>
      <c r="D187" s="32">
        <v>1529.7</v>
      </c>
      <c r="E187" s="32">
        <v>1487.6</v>
      </c>
      <c r="F187" s="32">
        <v>1481</v>
      </c>
      <c r="G187" s="27">
        <f>G186*(1-Inputs!G99)</f>
        <v>1458.7850000000001</v>
      </c>
      <c r="H187" s="27">
        <f>H186*(1-Inputs!H99)</f>
        <v>1436.903225</v>
      </c>
      <c r="I187" s="27">
        <f>I186*(1-Inputs!I99)</f>
        <v>1415.349676625</v>
      </c>
      <c r="J187" s="27">
        <f>J186*(1-Inputs!J99)</f>
        <v>1394.1194314756251</v>
      </c>
      <c r="K187" s="27">
        <f>K186*(1-Inputs!K99)</f>
        <v>1373.2076400034907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N52"/>
  <sheetViews>
    <sheetView showGridLines="0" zoomScaleNormal="100" workbookViewId="0">
      <pane ySplit="1" topLeftCell="A2" activePane="bottomLeft" state="frozen"/>
      <selection pane="bottomLeft" activeCell="H26" sqref="H26"/>
    </sheetView>
  </sheetViews>
  <sheetFormatPr baseColWidth="10" defaultColWidth="8.6640625" defaultRowHeight="15" x14ac:dyDescent="0.2"/>
  <cols>
    <col min="1" max="1" width="9.1640625" customWidth="1"/>
    <col min="2" max="2" width="41" customWidth="1"/>
    <col min="3" max="3" width="13" customWidth="1"/>
    <col min="4" max="13" width="11" customWidth="1"/>
    <col min="14" max="14" width="34.5" customWidth="1"/>
    <col min="15" max="16" width="11" customWidth="1"/>
  </cols>
  <sheetData>
    <row r="3" spans="1:14" ht="20" x14ac:dyDescent="0.25">
      <c r="A3" s="8" t="s">
        <v>27</v>
      </c>
      <c r="B3" s="11" t="s">
        <v>237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5" spans="1:14" x14ac:dyDescent="0.2">
      <c r="B5" s="6" t="s">
        <v>55</v>
      </c>
      <c r="D5" s="18" t="s">
        <v>56</v>
      </c>
      <c r="E5" s="18" t="s">
        <v>57</v>
      </c>
      <c r="F5" s="18" t="s">
        <v>39</v>
      </c>
      <c r="G5" s="18" t="s">
        <v>58</v>
      </c>
      <c r="H5" s="18" t="s">
        <v>59</v>
      </c>
      <c r="I5" s="18" t="s">
        <v>60</v>
      </c>
      <c r="J5" s="18" t="s">
        <v>61</v>
      </c>
      <c r="K5" s="18" t="s">
        <v>40</v>
      </c>
    </row>
    <row r="7" spans="1:14" x14ac:dyDescent="0.2">
      <c r="B7" s="6" t="s">
        <v>238</v>
      </c>
      <c r="G7" s="15">
        <f>Model!G27</f>
        <v>4458.6661440000025</v>
      </c>
      <c r="H7" s="15">
        <f>Model!H27</f>
        <v>5069.065153219999</v>
      </c>
      <c r="I7" s="15">
        <f>Model!I27</f>
        <v>5614.3674153210031</v>
      </c>
      <c r="J7" s="15">
        <f>Model!J27</f>
        <v>6140.9660519271456</v>
      </c>
      <c r="K7" s="15">
        <f>Model!K27</f>
        <v>6709.8631142387858</v>
      </c>
    </row>
    <row r="8" spans="1:14" x14ac:dyDescent="0.2">
      <c r="B8" s="6" t="s">
        <v>239</v>
      </c>
      <c r="G8" s="14">
        <f>Inputs!G87</f>
        <v>0.22</v>
      </c>
      <c r="H8" s="14">
        <f>Inputs!H87</f>
        <v>0.23</v>
      </c>
      <c r="I8" s="14">
        <f>Inputs!I87</f>
        <v>0.24</v>
      </c>
      <c r="J8" s="14">
        <f>Inputs!J87</f>
        <v>0.24</v>
      </c>
      <c r="K8" s="14">
        <f>Inputs!K87</f>
        <v>0.24</v>
      </c>
    </row>
    <row r="9" spans="1:14" x14ac:dyDescent="0.2">
      <c r="B9" s="7" t="s">
        <v>240</v>
      </c>
      <c r="G9" s="27">
        <f>G7*(1-G8)</f>
        <v>3477.759592320002</v>
      </c>
      <c r="H9" s="27">
        <f>H7*(1-H8)</f>
        <v>3903.1801679793994</v>
      </c>
      <c r="I9" s="27">
        <f>I7*(1-I8)</f>
        <v>4266.9192356439626</v>
      </c>
      <c r="J9" s="27">
        <f>J7*(1-J8)</f>
        <v>4667.1341994646309</v>
      </c>
      <c r="K9" s="27">
        <f>K7*(1-K8)</f>
        <v>5099.4959668214769</v>
      </c>
    </row>
    <row r="10" spans="1:14" x14ac:dyDescent="0.2">
      <c r="B10" s="6" t="s">
        <v>241</v>
      </c>
      <c r="G10" s="15">
        <f>-Model!G142</f>
        <v>789.55546300000015</v>
      </c>
      <c r="H10" s="15">
        <f>-Model!H142</f>
        <v>812.96327929000006</v>
      </c>
      <c r="I10" s="15">
        <f>-Model!I142</f>
        <v>837.23022860050014</v>
      </c>
      <c r="J10" s="15">
        <f>-Model!J142</f>
        <v>862.78035440298731</v>
      </c>
      <c r="K10" s="15">
        <f>-Model!K142</f>
        <v>891.15369485983831</v>
      </c>
    </row>
    <row r="11" spans="1:14" x14ac:dyDescent="0.2">
      <c r="B11" s="6" t="s">
        <v>242</v>
      </c>
      <c r="G11" s="15">
        <f>Model!G141</f>
        <v>-743.11102400000016</v>
      </c>
      <c r="H11" s="15">
        <f>Model!H141</f>
        <v>-812.96327929000006</v>
      </c>
      <c r="I11" s="15">
        <f>Model!I141</f>
        <v>-837.23022860050014</v>
      </c>
      <c r="J11" s="15">
        <f>Model!J141</f>
        <v>-862.78035440298731</v>
      </c>
      <c r="K11" s="15">
        <f>Model!K141</f>
        <v>-891.15369485983831</v>
      </c>
    </row>
    <row r="12" spans="1:14" x14ac:dyDescent="0.2">
      <c r="B12" s="6" t="s">
        <v>243</v>
      </c>
      <c r="G12" s="15">
        <f>Model!G137</f>
        <v>259.03765186986084</v>
      </c>
      <c r="H12" s="15">
        <f>Model!H137</f>
        <v>118.74313240630454</v>
      </c>
      <c r="I12" s="15">
        <f>Model!I137</f>
        <v>-149.84370797559995</v>
      </c>
      <c r="J12" s="15">
        <f>Model!J137</f>
        <v>-280.02112025485121</v>
      </c>
      <c r="K12" s="15">
        <f>Model!K137</f>
        <v>-311.54721338572517</v>
      </c>
    </row>
    <row r="13" spans="1:14" x14ac:dyDescent="0.2">
      <c r="B13" s="7" t="s">
        <v>244</v>
      </c>
      <c r="G13" s="27">
        <f>SUM(G9:G12)</f>
        <v>3783.2416831898627</v>
      </c>
      <c r="H13" s="27">
        <f>SUM(H9:H12)</f>
        <v>4021.9233003857034</v>
      </c>
      <c r="I13" s="27">
        <f>SUM(I9:I12)</f>
        <v>4117.0755276683631</v>
      </c>
      <c r="J13" s="27">
        <f>SUM(J9:J12)</f>
        <v>4387.1130792097792</v>
      </c>
      <c r="K13" s="27">
        <f>SUM(K9:K12)</f>
        <v>4787.9487534357522</v>
      </c>
    </row>
    <row r="15" spans="1:14" x14ac:dyDescent="0.2">
      <c r="B15" s="6" t="s">
        <v>245</v>
      </c>
      <c r="G15" s="34">
        <v>0.5</v>
      </c>
      <c r="H15" s="34">
        <v>1.5</v>
      </c>
      <c r="I15" s="34">
        <v>2.5</v>
      </c>
      <c r="J15" s="34">
        <v>3.5</v>
      </c>
      <c r="K15" s="34">
        <v>4.5</v>
      </c>
    </row>
    <row r="16" spans="1:14" x14ac:dyDescent="0.2">
      <c r="B16" s="6" t="s">
        <v>246</v>
      </c>
      <c r="G16" s="35">
        <f>1/(1+Inputs!F116)^G15</f>
        <v>0.95862328316292311</v>
      </c>
      <c r="H16" s="35">
        <f>1/(1+Inputs!F116)^H15</f>
        <v>0.88093510928532903</v>
      </c>
      <c r="I16" s="35">
        <f>1/(1+Inputs!F116)^I15</f>
        <v>0.80954289385819278</v>
      </c>
      <c r="J16" s="35">
        <f>1/(1+Inputs!F116)^J15</f>
        <v>0.74393640358819046</v>
      </c>
      <c r="K16" s="35">
        <f>1/(1+Inputs!F116)^K15</f>
        <v>0.68364675520291462</v>
      </c>
    </row>
    <row r="17" spans="2:11" x14ac:dyDescent="0.2">
      <c r="B17" s="7" t="s">
        <v>247</v>
      </c>
      <c r="G17" s="27">
        <f>G13*G16</f>
        <v>3626.7035633382898</v>
      </c>
      <c r="H17" s="27">
        <f>H13*H16</f>
        <v>3543.0534421624907</v>
      </c>
      <c r="I17" s="27">
        <f>I13*I16</f>
        <v>3332.9492369013929</v>
      </c>
      <c r="J17" s="27">
        <f>J13*J16</f>
        <v>3263.7331262820353</v>
      </c>
      <c r="K17" s="27">
        <f>K13*K16</f>
        <v>3273.2656293641921</v>
      </c>
    </row>
    <row r="19" spans="2:11" x14ac:dyDescent="0.2">
      <c r="B19" s="7" t="s">
        <v>248</v>
      </c>
    </row>
    <row r="21" spans="2:11" x14ac:dyDescent="0.2">
      <c r="B21" s="6" t="s">
        <v>249</v>
      </c>
      <c r="F21" s="15">
        <f>K13</f>
        <v>4787.9487534357522</v>
      </c>
    </row>
    <row r="22" spans="2:11" x14ac:dyDescent="0.2">
      <c r="B22" s="7" t="s">
        <v>250</v>
      </c>
      <c r="F22" s="27">
        <f>F21*(1+Inputs!F117)/(Inputs!F116-Inputs!F117)</f>
        <v>71620.899607624044</v>
      </c>
    </row>
    <row r="23" spans="2:11" x14ac:dyDescent="0.2">
      <c r="B23" s="7" t="s">
        <v>251</v>
      </c>
      <c r="F23" s="27">
        <f>F22*K16</f>
        <v>48963.395621465876</v>
      </c>
    </row>
    <row r="24" spans="2:11" x14ac:dyDescent="0.2">
      <c r="B24" s="6" t="s">
        <v>252</v>
      </c>
      <c r="F24" s="15">
        <f>K7-Model!K142</f>
        <v>7601.0168090986244</v>
      </c>
    </row>
    <row r="25" spans="2:11" x14ac:dyDescent="0.2">
      <c r="B25" s="7" t="s">
        <v>253</v>
      </c>
      <c r="F25" s="27">
        <f>F24*Inputs!F118</f>
        <v>79853.822559199238</v>
      </c>
    </row>
    <row r="26" spans="2:11" x14ac:dyDescent="0.2">
      <c r="B26" s="7" t="s">
        <v>254</v>
      </c>
      <c r="F26" s="27">
        <f>F25*K16</f>
        <v>54591.806683145864</v>
      </c>
    </row>
    <row r="28" spans="2:11" x14ac:dyDescent="0.2">
      <c r="B28" s="7" t="s">
        <v>255</v>
      </c>
    </row>
    <row r="30" spans="2:11" x14ac:dyDescent="0.2">
      <c r="B30" s="7" t="s">
        <v>256</v>
      </c>
      <c r="F30" s="27">
        <f>SUM(G17:K17)+F23</f>
        <v>66003.100619514269</v>
      </c>
    </row>
    <row r="31" spans="2:11" x14ac:dyDescent="0.2">
      <c r="B31" s="7" t="s">
        <v>257</v>
      </c>
      <c r="F31" s="27">
        <f>SUM(G17:K17)+F26</f>
        <v>71631.511681194272</v>
      </c>
    </row>
    <row r="32" spans="2:11" x14ac:dyDescent="0.2">
      <c r="B32" s="6" t="s">
        <v>258</v>
      </c>
      <c r="F32" s="15">
        <f>Model!F64+Model!F65-Model!F44-Model!F45</f>
        <v>-1085</v>
      </c>
    </row>
    <row r="33" spans="2:8" x14ac:dyDescent="0.2">
      <c r="B33" s="7" t="s">
        <v>259</v>
      </c>
      <c r="F33" s="27">
        <f>F30-F32</f>
        <v>67088.100619514269</v>
      </c>
    </row>
    <row r="34" spans="2:8" x14ac:dyDescent="0.2">
      <c r="B34" s="7" t="s">
        <v>260</v>
      </c>
      <c r="F34" s="27">
        <f>F31-F32</f>
        <v>72716.511681194272</v>
      </c>
    </row>
    <row r="35" spans="2:8" x14ac:dyDescent="0.2">
      <c r="B35" s="7" t="s">
        <v>261</v>
      </c>
      <c r="F35" s="12">
        <f>F33/Inputs!F120</f>
        <v>45.2991901549725</v>
      </c>
    </row>
    <row r="36" spans="2:8" x14ac:dyDescent="0.2">
      <c r="B36" s="7" t="s">
        <v>262</v>
      </c>
      <c r="F36" s="12">
        <f>F34/Inputs!F120</f>
        <v>49.099602755701738</v>
      </c>
    </row>
    <row r="37" spans="2:8" x14ac:dyDescent="0.2">
      <c r="B37" s="6" t="s">
        <v>263</v>
      </c>
      <c r="F37" s="14">
        <f>F35/Inputs!F119-1</f>
        <v>0.14391894330738642</v>
      </c>
    </row>
    <row r="38" spans="2:8" x14ac:dyDescent="0.2">
      <c r="B38" s="6" t="s">
        <v>264</v>
      </c>
      <c r="F38" s="14">
        <f>F36/Inputs!F119-1</f>
        <v>0.23988895847731651</v>
      </c>
    </row>
    <row r="41" spans="2:8" x14ac:dyDescent="0.2">
      <c r="B41" s="7" t="s">
        <v>265</v>
      </c>
    </row>
    <row r="43" spans="2:8" x14ac:dyDescent="0.2">
      <c r="B43" s="4" t="s">
        <v>266</v>
      </c>
    </row>
    <row r="45" spans="2:8" x14ac:dyDescent="0.2">
      <c r="B45" s="30" t="s">
        <v>267</v>
      </c>
      <c r="C45" s="7" t="s">
        <v>268</v>
      </c>
      <c r="D45" s="36">
        <f>Inputs!F117+(-0.01)</f>
        <v>0.01</v>
      </c>
      <c r="E45" s="36">
        <f>Inputs!F117+(-0.005)</f>
        <v>1.4999999999999999E-2</v>
      </c>
      <c r="F45" s="36">
        <f>Inputs!F117+(0)</f>
        <v>0.02</v>
      </c>
      <c r="G45" s="36">
        <f>Inputs!F117+(0.005)</f>
        <v>2.5000000000000001E-2</v>
      </c>
      <c r="H45" s="36">
        <f>Inputs!F117+(0.01)</f>
        <v>0.03</v>
      </c>
    </row>
    <row r="46" spans="2:8" x14ac:dyDescent="0.2">
      <c r="C46" s="26">
        <f>Inputs!F116+(-0.01)</f>
        <v>7.8188304744284398E-2</v>
      </c>
      <c r="D46" s="13">
        <f>($G$13/(1+$C46)^$G$15+$H$13/(1+$C46)^$H$15+$I$13/(1+$C46)^$I$15+$J$13/(1+$C46)^$J$15+$K$13/(1+$C46)^$K$15+($K$13*(1+D$45)/($C46-D$45))/(1+$C46)^$K$15-$F$32)/Inputs!$F$120</f>
        <v>46.627100866309625</v>
      </c>
      <c r="E46" s="13">
        <f>($G$13/(1+$C46)^$G$15+$H$13/(1+$C46)^$H$15+$I$13/(1+$C46)^$I$15+$J$13/(1+$C46)^$J$15+$K$13/(1+$C46)^$K$15+($K$13*(1+E$45)/($C46-E$45))/(1+$C46)^$K$15-$F$32)/Inputs!$F$120</f>
        <v>49.509716140250482</v>
      </c>
      <c r="F46" s="13">
        <f>($G$13/(1+$C46)^$G$15+$H$13/(1+$C46)^$H$15+$I$13/(1+$C46)^$I$15+$J$13/(1+$C46)^$J$15+$K$13/(1+$C46)^$K$15+($K$13*(1+F$45)/($C46-F$45))/(1+$C46)^$K$15-$F$32)/Inputs!$F$120</f>
        <v>52.887725683986424</v>
      </c>
      <c r="G46" s="13">
        <f>($G$13/(1+$C46)^$G$15+$H$13/(1+$C46)^$H$15+$I$13/(1+$C46)^$I$15+$J$13/(1+$C46)^$J$15+$K$13/(1+$C46)^$K$15+($K$13*(1+G$45)/($C46-G$45))/(1+$C46)^$K$15-$F$32)/Inputs!$F$120</f>
        <v>56.900839046123146</v>
      </c>
      <c r="H46" s="13">
        <f>($G$13/(1+$C46)^$G$15+$H$13/(1+$C46)^$H$15+$I$13/(1+$C46)^$I$15+$J$13/(1+$C46)^$J$15+$K$13/(1+$C46)^$K$15+($K$13*(1+H$45)/($C46-H$45))/(1+$C46)^$K$15-$F$32)/Inputs!$F$120</f>
        <v>61.746750611772669</v>
      </c>
    </row>
    <row r="47" spans="2:8" x14ac:dyDescent="0.2">
      <c r="C47" s="26">
        <f>Inputs!F116+(-0.005)</f>
        <v>8.3188304744284389E-2</v>
      </c>
      <c r="D47" s="13">
        <f>($G$13/(1+$C47)^$G$15+$H$13/(1+$C47)^$H$15+$I$13/(1+$C47)^$I$15+$J$13/(1+$C47)^$J$15+$K$13/(1+$C47)^$K$15+($K$13*(1+D$45)/($C47-D$45))/(1+$C47)^$K$15-$F$32)/Inputs!$F$120</f>
        <v>43.507651076357433</v>
      </c>
      <c r="E47" s="13">
        <f>($G$13/(1+$C47)^$G$15+$H$13/(1+$C47)^$H$15+$I$13/(1+$C47)^$I$15+$J$13/(1+$C47)^$J$15+$K$13/(1+$C47)^$K$15+($K$13*(1+E$45)/($C47-E$45))/(1+$C47)^$K$15-$F$32)/Inputs!$F$120</f>
        <v>45.956426681534552</v>
      </c>
      <c r="F47" s="13">
        <f>($G$13/(1+$C47)^$G$15+$H$13/(1+$C47)^$H$15+$I$13/(1+$C47)^$I$15+$J$13/(1+$C47)^$J$15+$K$13/(1+$C47)^$K$15+($K$13*(1+F$45)/($C47-F$45))/(1+$C47)^$K$15-$F$32)/Inputs!$F$120</f>
        <v>48.792738495364027</v>
      </c>
      <c r="G47" s="13">
        <f>($G$13/(1+$C47)^$G$15+$H$13/(1+$C47)^$H$15+$I$13/(1+$C47)^$I$15+$J$13/(1+$C47)^$J$15+$K$13/(1+$C47)^$K$15+($K$13*(1+G$45)/($C47-G$45))/(1+$C47)^$K$15-$F$32)/Inputs!$F$120</f>
        <v>52.116487058948316</v>
      </c>
      <c r="H47" s="13">
        <f>($G$13/(1+$C47)^$G$15+$H$13/(1+$C47)^$H$15+$I$13/(1+$C47)^$I$15+$J$13/(1+$C47)^$J$15+$K$13/(1+$C47)^$K$15+($K$13*(1+H$45)/($C47-H$45))/(1+$C47)^$K$15-$F$32)/Inputs!$F$120</f>
        <v>56.065137765882326</v>
      </c>
    </row>
    <row r="48" spans="2:8" x14ac:dyDescent="0.2">
      <c r="C48" s="26">
        <f>Inputs!F116+(0)</f>
        <v>8.8188304744284393E-2</v>
      </c>
      <c r="D48" s="13">
        <f>($G$13/(1+$C48)^$G$15+$H$13/(1+$C48)^$H$15+$I$13/(1+$C48)^$I$15+$J$13/(1+$C48)^$J$15+$K$13/(1+$C48)^$K$15+($K$13*(1+D$45)/($C48-D$45))/(1+$C48)^$K$15-$F$32)/Inputs!$F$120</f>
        <v>40.788130655377458</v>
      </c>
      <c r="E48" s="13">
        <f>($G$13/(1+$C48)^$G$15+$H$13/(1+$C48)^$H$15+$I$13/(1+$C48)^$I$15+$J$13/(1+$C48)^$J$15+$K$13/(1+$C48)^$K$15+($K$13*(1+E$45)/($C48-E$45))/(1+$C48)^$K$15-$F$32)/Inputs!$F$120</f>
        <v>42.889569546145104</v>
      </c>
      <c r="F48" s="37">
        <f>($G$13/(1+$C48)^$G$15+$H$13/(1+$C48)^$H$15+$I$13/(1+$C48)^$I$15+$J$13/(1+$C48)^$J$15+$K$13/(1+$C48)^$K$15+($K$13*(1+F$45)/($C48-F$45))/(1+$C48)^$K$15-$F$32)/Inputs!$F$120</f>
        <v>45.299190154972507</v>
      </c>
      <c r="G48" s="13">
        <f>($G$13/(1+$C48)^$G$15+$H$13/(1+$C48)^$H$15+$I$13/(1+$C48)^$I$15+$J$13/(1+$C48)^$J$15+$K$13/(1+$C48)^$K$15+($K$13*(1+G$45)/($C48-G$45))/(1+$C48)^$K$15-$F$32)/Inputs!$F$120</f>
        <v>48.090150414955119</v>
      </c>
      <c r="H48" s="13">
        <f>($G$13/(1+$C48)^$G$15+$H$13/(1+$C48)^$H$15+$I$13/(1+$C48)^$I$15+$J$13/(1+$C48)^$J$15+$K$13/(1+$C48)^$K$15+($K$13*(1+H$45)/($C48-H$45))/(1+$C48)^$K$15-$F$32)/Inputs!$F$120</f>
        <v>51.360753495303072</v>
      </c>
    </row>
    <row r="49" spans="2:8" x14ac:dyDescent="0.2">
      <c r="C49" s="26">
        <f>Inputs!F116+(0.005)</f>
        <v>9.3188304744284398E-2</v>
      </c>
      <c r="D49" s="13">
        <f>($G$13/(1+$C49)^$G$15+$H$13/(1+$C49)^$H$15+$I$13/(1+$C49)^$I$15+$J$13/(1+$C49)^$J$15+$K$13/(1+$C49)^$K$15+($K$13*(1+D$45)/($C49-D$45))/(1+$C49)^$K$15-$F$32)/Inputs!$F$120</f>
        <v>38.396402990327395</v>
      </c>
      <c r="E49" s="13">
        <f>($G$13/(1+$C49)^$G$15+$H$13/(1+$C49)^$H$15+$I$13/(1+$C49)^$I$15+$J$13/(1+$C49)^$J$15+$K$13/(1+$C49)^$K$15+($K$13*(1+E$45)/($C49-E$45))/(1+$C49)^$K$15-$F$32)/Inputs!$F$120</f>
        <v>40.215801980010831</v>
      </c>
      <c r="F49" s="13">
        <f>($G$13/(1+$C49)^$G$15+$H$13/(1+$C49)^$H$15+$I$13/(1+$C49)^$I$15+$J$13/(1+$C49)^$J$15+$K$13/(1+$C49)^$K$15+($K$13*(1+F$45)/($C49-F$45))/(1+$C49)^$K$15-$F$32)/Inputs!$F$120</f>
        <v>42.283792462015391</v>
      </c>
      <c r="G49" s="13">
        <f>($G$13/(1+$C49)^$G$15+$H$13/(1+$C49)^$H$15+$I$13/(1+$C49)^$I$15+$J$13/(1+$C49)^$J$15+$K$13/(1+$C49)^$K$15+($K$13*(1+G$45)/($C49-G$45))/(1+$C49)^$K$15-$F$32)/Inputs!$F$120</f>
        <v>44.655059362132967</v>
      </c>
      <c r="H49" s="13">
        <f>($G$13/(1+$C49)^$G$15+$H$13/(1+$C49)^$H$15+$I$13/(1+$C49)^$I$15+$J$13/(1+$C49)^$J$15+$K$13/(1+$C49)^$K$15+($K$13*(1+H$45)/($C49-H$45))/(1+$C49)^$K$15-$F$32)/Inputs!$F$120</f>
        <v>47.401596165393819</v>
      </c>
    </row>
    <row r="50" spans="2:8" x14ac:dyDescent="0.2">
      <c r="C50" s="26">
        <f>Inputs!F116+(0.01)</f>
        <v>9.8188304744284388E-2</v>
      </c>
      <c r="D50" s="13">
        <f>($G$13/(1+$C50)^$G$15+$H$13/(1+$C50)^$H$15+$I$13/(1+$C50)^$I$15+$J$13/(1+$C50)^$J$15+$K$13/(1+$C50)^$K$15+($K$13*(1+D$45)/($C50-D$45))/(1+$C50)^$K$15-$F$32)/Inputs!$F$120</f>
        <v>36.276691794870509</v>
      </c>
      <c r="E50" s="13">
        <f>($G$13/(1+$C50)^$G$15+$H$13/(1+$C50)^$H$15+$I$13/(1+$C50)^$I$15+$J$13/(1+$C50)^$J$15+$K$13/(1+$C50)^$K$15+($K$13*(1+E$45)/($C50-E$45))/(1+$C50)^$K$15-$F$32)/Inputs!$F$120</f>
        <v>37.864223182896154</v>
      </c>
      <c r="F50" s="13">
        <f>($G$13/(1+$C50)^$G$15+$H$13/(1+$C50)^$H$15+$I$13/(1+$C50)^$I$15+$J$13/(1+$C50)^$J$15+$K$13/(1+$C50)^$K$15+($K$13*(1+F$45)/($C50-F$45))/(1+$C50)^$K$15-$F$32)/Inputs!$F$120</f>
        <v>39.654794065539008</v>
      </c>
      <c r="G50" s="13">
        <f>($G$13/(1+$C50)^$G$15+$H$13/(1+$C50)^$H$15+$I$13/(1+$C50)^$I$15+$J$13/(1+$C50)^$J$15+$K$13/(1+$C50)^$K$15+($K$13*(1+G$45)/($C50-G$45))/(1+$C50)^$K$15-$F$32)/Inputs!$F$120</f>
        <v>41.690017545191594</v>
      </c>
      <c r="H50" s="13">
        <f>($G$13/(1+$C50)^$G$15+$H$13/(1+$C50)^$H$15+$I$13/(1+$C50)^$I$15+$J$13/(1+$C50)^$J$15+$K$13/(1+$C50)^$K$15+($K$13*(1+H$45)/($C50-H$45))/(1+$C50)^$K$15-$F$32)/Inputs!$F$120</f>
        <v>44.023712073110445</v>
      </c>
    </row>
    <row r="52" spans="2:8" x14ac:dyDescent="0.2">
      <c r="B52" s="4" t="s">
        <v>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P34"/>
  <sheetViews>
    <sheetView showGridLines="0" zoomScaleNormal="100" workbookViewId="0">
      <pane ySplit="1" topLeftCell="A2" activePane="bottomLeft" state="frozen"/>
      <selection pane="bottomLeft" activeCell="N34" sqref="N34"/>
    </sheetView>
  </sheetViews>
  <sheetFormatPr baseColWidth="10" defaultColWidth="8.6640625" defaultRowHeight="15" x14ac:dyDescent="0.2"/>
  <cols>
    <col min="1" max="1" width="9.1640625" customWidth="1"/>
    <col min="2" max="2" width="41" customWidth="1"/>
    <col min="3" max="3" width="13" customWidth="1"/>
    <col min="4" max="13" width="11" customWidth="1"/>
    <col min="14" max="14" width="34.5" customWidth="1"/>
    <col min="15" max="16" width="11" customWidth="1"/>
    <col min="20" max="20" width="7.33203125" bestFit="1" customWidth="1"/>
  </cols>
  <sheetData>
    <row r="3" spans="1:16" ht="20" x14ac:dyDescent="0.25">
      <c r="A3" s="8" t="s">
        <v>27</v>
      </c>
      <c r="B3" s="11" t="s">
        <v>270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5" spans="1:16" ht="28" x14ac:dyDescent="0.2">
      <c r="B5" s="38" t="s">
        <v>271</v>
      </c>
      <c r="C5" s="38" t="s">
        <v>272</v>
      </c>
      <c r="D5" s="38" t="s">
        <v>273</v>
      </c>
      <c r="E5" s="38" t="s">
        <v>274</v>
      </c>
      <c r="F5" s="38" t="s">
        <v>275</v>
      </c>
      <c r="G5" s="38" t="s">
        <v>276</v>
      </c>
      <c r="H5" s="38" t="s">
        <v>277</v>
      </c>
      <c r="I5" s="38" t="s">
        <v>278</v>
      </c>
      <c r="J5" s="38" t="s">
        <v>279</v>
      </c>
      <c r="K5" s="38" t="s">
        <v>280</v>
      </c>
      <c r="L5" s="38" t="s">
        <v>281</v>
      </c>
      <c r="M5" s="38" t="s">
        <v>282</v>
      </c>
      <c r="N5" s="38" t="s">
        <v>283</v>
      </c>
      <c r="O5" s="38" t="s">
        <v>284</v>
      </c>
      <c r="P5" s="38" t="s">
        <v>285</v>
      </c>
    </row>
    <row r="7" spans="1:16" x14ac:dyDescent="0.2">
      <c r="B7" s="6" t="s">
        <v>286</v>
      </c>
      <c r="C7" s="6" t="s">
        <v>287</v>
      </c>
      <c r="D7" s="29">
        <v>179.16</v>
      </c>
      <c r="E7" s="19">
        <v>174</v>
      </c>
      <c r="F7" s="15">
        <f t="shared" ref="F7:F12" si="0">D7*E7</f>
        <v>31173.84</v>
      </c>
      <c r="G7" s="19">
        <v>6940</v>
      </c>
      <c r="H7" s="19">
        <v>1810</v>
      </c>
      <c r="I7" s="15">
        <f t="shared" ref="I7:I12" si="1">G7-H7</f>
        <v>5130</v>
      </c>
      <c r="J7" s="27">
        <f t="shared" ref="J7:J12" si="2">F7+I7</f>
        <v>36303.839999999997</v>
      </c>
      <c r="K7" s="19">
        <v>30210</v>
      </c>
      <c r="L7" s="19">
        <v>3860</v>
      </c>
      <c r="M7" s="29">
        <v>9.01</v>
      </c>
      <c r="N7" s="17">
        <f t="shared" ref="N7:N12" si="3">J7/K7</f>
        <v>1.2017159880834161</v>
      </c>
      <c r="O7" s="17">
        <f t="shared" ref="O7:O12" si="4">IFERROR(J7/L7,"n.m.")</f>
        <v>9.4051398963730559</v>
      </c>
      <c r="P7" s="17">
        <f t="shared" ref="P7:P12" si="5">IF(M7&lt;0,"n.m.",D7/M7)</f>
        <v>19.884572697003328</v>
      </c>
    </row>
    <row r="8" spans="1:16" x14ac:dyDescent="0.2">
      <c r="B8" s="6" t="s">
        <v>288</v>
      </c>
      <c r="C8" s="6" t="s">
        <v>289</v>
      </c>
      <c r="D8" s="29">
        <v>120.81</v>
      </c>
      <c r="E8" s="19">
        <v>113.6</v>
      </c>
      <c r="F8" s="15">
        <f t="shared" si="0"/>
        <v>13724.016</v>
      </c>
      <c r="G8" s="19">
        <v>2140</v>
      </c>
      <c r="H8" s="19">
        <v>1510</v>
      </c>
      <c r="I8" s="15">
        <f t="shared" si="1"/>
        <v>630</v>
      </c>
      <c r="J8" s="27">
        <f t="shared" si="2"/>
        <v>14354.016</v>
      </c>
      <c r="K8" s="19">
        <v>10180</v>
      </c>
      <c r="L8" s="19">
        <v>2570</v>
      </c>
      <c r="M8" s="29">
        <v>12.35</v>
      </c>
      <c r="N8" s="17">
        <f t="shared" si="3"/>
        <v>1.4100212180746561</v>
      </c>
      <c r="O8" s="17">
        <f t="shared" si="4"/>
        <v>5.5852202334630352</v>
      </c>
      <c r="P8" s="17">
        <f t="shared" si="5"/>
        <v>9.7821862348178144</v>
      </c>
    </row>
    <row r="9" spans="1:16" x14ac:dyDescent="0.2">
      <c r="B9" s="6" t="s">
        <v>290</v>
      </c>
      <c r="C9" s="6" t="s">
        <v>291</v>
      </c>
      <c r="D9" s="29">
        <v>5.2</v>
      </c>
      <c r="E9" s="19">
        <v>429.6</v>
      </c>
      <c r="F9" s="15">
        <f t="shared" si="0"/>
        <v>2233.92</v>
      </c>
      <c r="G9" s="19">
        <v>1380</v>
      </c>
      <c r="H9" s="19">
        <v>396</v>
      </c>
      <c r="I9" s="15">
        <f t="shared" si="1"/>
        <v>984</v>
      </c>
      <c r="J9" s="27">
        <f t="shared" si="2"/>
        <v>3217.92</v>
      </c>
      <c r="K9" s="19">
        <v>4930</v>
      </c>
      <c r="L9" s="19">
        <v>173</v>
      </c>
      <c r="M9" s="29">
        <v>-1.1499999999999999</v>
      </c>
      <c r="N9" s="17">
        <f t="shared" si="3"/>
        <v>0.65272210953346854</v>
      </c>
      <c r="O9" s="17">
        <f t="shared" si="4"/>
        <v>18.600693641618498</v>
      </c>
      <c r="P9" s="17" t="str">
        <f t="shared" si="5"/>
        <v>n.m.</v>
      </c>
    </row>
    <row r="10" spans="1:16" x14ac:dyDescent="0.2">
      <c r="B10" s="6" t="s">
        <v>292</v>
      </c>
      <c r="C10" s="6" t="s">
        <v>293</v>
      </c>
      <c r="D10" s="29">
        <v>87.76</v>
      </c>
      <c r="E10" s="19">
        <v>136.19999999999999</v>
      </c>
      <c r="F10" s="15">
        <f t="shared" si="0"/>
        <v>11952.912</v>
      </c>
      <c r="G10" s="19">
        <v>472</v>
      </c>
      <c r="H10" s="19">
        <v>1600</v>
      </c>
      <c r="I10" s="15">
        <f t="shared" si="1"/>
        <v>-1128</v>
      </c>
      <c r="J10" s="27">
        <f t="shared" si="2"/>
        <v>10824.912</v>
      </c>
      <c r="K10" s="19">
        <v>5530</v>
      </c>
      <c r="L10" s="19">
        <v>1330</v>
      </c>
      <c r="M10" s="29">
        <v>7.05</v>
      </c>
      <c r="N10" s="17">
        <f t="shared" si="3"/>
        <v>1.9574886075949367</v>
      </c>
      <c r="O10" s="17">
        <f t="shared" si="4"/>
        <v>8.1390315789473693</v>
      </c>
      <c r="P10" s="17">
        <f t="shared" si="5"/>
        <v>12.448226950354611</v>
      </c>
    </row>
    <row r="11" spans="1:16" x14ac:dyDescent="0.2">
      <c r="B11" s="6" t="s">
        <v>294</v>
      </c>
      <c r="C11" s="6" t="s">
        <v>295</v>
      </c>
      <c r="D11" s="29">
        <v>13.67</v>
      </c>
      <c r="E11" s="19">
        <v>393.1</v>
      </c>
      <c r="F11" s="15">
        <f t="shared" si="0"/>
        <v>5373.6770000000006</v>
      </c>
      <c r="G11" s="19">
        <v>4950</v>
      </c>
      <c r="H11" s="19">
        <v>670</v>
      </c>
      <c r="I11" s="15">
        <f t="shared" si="1"/>
        <v>4280</v>
      </c>
      <c r="J11" s="27">
        <f t="shared" si="2"/>
        <v>9653.6769999999997</v>
      </c>
      <c r="K11" s="19">
        <v>9510</v>
      </c>
      <c r="L11" s="19">
        <v>894</v>
      </c>
      <c r="M11" s="29">
        <v>0.69</v>
      </c>
      <c r="N11" s="17">
        <f t="shared" si="3"/>
        <v>1.0151079915878023</v>
      </c>
      <c r="O11" s="17">
        <f t="shared" si="4"/>
        <v>10.798296420581655</v>
      </c>
      <c r="P11" s="17">
        <f t="shared" si="5"/>
        <v>19.811594202898551</v>
      </c>
    </row>
    <row r="12" spans="1:16" x14ac:dyDescent="0.2">
      <c r="B12" s="6" t="s">
        <v>296</v>
      </c>
      <c r="C12" s="6" t="s">
        <v>297</v>
      </c>
      <c r="D12" s="29">
        <v>29.73</v>
      </c>
      <c r="E12" s="19">
        <v>147.19999999999999</v>
      </c>
      <c r="F12" s="15">
        <f t="shared" si="0"/>
        <v>4376.2559999999994</v>
      </c>
      <c r="G12" s="19">
        <v>3090</v>
      </c>
      <c r="H12" s="19">
        <v>432</v>
      </c>
      <c r="I12" s="15">
        <f t="shared" si="1"/>
        <v>2658</v>
      </c>
      <c r="J12" s="27">
        <f t="shared" si="2"/>
        <v>7034.2559999999994</v>
      </c>
      <c r="K12" s="19">
        <v>8320</v>
      </c>
      <c r="L12" s="19">
        <v>180</v>
      </c>
      <c r="M12" s="29">
        <v>-4.88</v>
      </c>
      <c r="N12" s="17">
        <f t="shared" si="3"/>
        <v>0.84546346153846141</v>
      </c>
      <c r="O12" s="17">
        <f t="shared" si="4"/>
        <v>39.0792</v>
      </c>
      <c r="P12" s="17" t="str">
        <f t="shared" si="5"/>
        <v>n.m.</v>
      </c>
    </row>
    <row r="13" spans="1:16" x14ac:dyDescent="0.2">
      <c r="B13" s="39" t="s">
        <v>298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1">
        <f>AVERAGE(N7:N12)</f>
        <v>1.1804198960687902</v>
      </c>
      <c r="O13" s="41">
        <f>AVERAGE(O7:O11)</f>
        <v>10.505676354196723</v>
      </c>
      <c r="P13" s="41">
        <f>AVERAGE(P7,P8,P10,P11)</f>
        <v>15.481645021268577</v>
      </c>
    </row>
    <row r="14" spans="1:16" x14ac:dyDescent="0.2">
      <c r="B14" s="39" t="s">
        <v>299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1">
        <f>MEDIAN(N7:N12)</f>
        <v>1.1084119898356093</v>
      </c>
      <c r="O14" s="41">
        <f>MEDIAN(O7:O11)</f>
        <v>9.4051398963730559</v>
      </c>
      <c r="P14" s="41">
        <f>MEDIAN(P7,P8,P10,P11)</f>
        <v>16.129910576626582</v>
      </c>
    </row>
    <row r="16" spans="1:16" x14ac:dyDescent="0.2">
      <c r="B16" s="4" t="s">
        <v>300</v>
      </c>
    </row>
    <row r="18" spans="2:6" x14ac:dyDescent="0.2">
      <c r="B18" s="7" t="s">
        <v>301</v>
      </c>
    </row>
    <row r="20" spans="2:6" x14ac:dyDescent="0.2">
      <c r="B20" s="6" t="s">
        <v>302</v>
      </c>
      <c r="F20" s="15">
        <f>Model!F18</f>
        <v>46398</v>
      </c>
    </row>
    <row r="21" spans="2:6" x14ac:dyDescent="0.2">
      <c r="B21" s="6" t="s">
        <v>303</v>
      </c>
      <c r="F21" s="15">
        <f>Model!F27-Model!F142</f>
        <v>4544</v>
      </c>
    </row>
    <row r="22" spans="2:6" x14ac:dyDescent="0.2">
      <c r="B22" s="6" t="s">
        <v>304</v>
      </c>
      <c r="F22" s="13">
        <f>Model!F37</f>
        <v>2.0985820391627277</v>
      </c>
    </row>
    <row r="23" spans="2:6" x14ac:dyDescent="0.2">
      <c r="B23" s="7" t="s">
        <v>305</v>
      </c>
      <c r="F23" s="27">
        <f>F20*N13</f>
        <v>54769.122337799723</v>
      </c>
    </row>
    <row r="24" spans="2:6" x14ac:dyDescent="0.2">
      <c r="B24" s="7" t="s">
        <v>306</v>
      </c>
      <c r="F24" s="27">
        <f>F21*O13</f>
        <v>47737.793353469911</v>
      </c>
    </row>
    <row r="25" spans="2:6" x14ac:dyDescent="0.2">
      <c r="B25" s="6" t="s">
        <v>307</v>
      </c>
      <c r="F25" s="15">
        <f>Model!F64+Model!F65-Model!F44-Model!F45</f>
        <v>-1085</v>
      </c>
    </row>
    <row r="26" spans="2:6" x14ac:dyDescent="0.2">
      <c r="B26" s="7" t="s">
        <v>308</v>
      </c>
      <c r="F26" s="27">
        <f>F23-F25</f>
        <v>55854.122337799723</v>
      </c>
    </row>
    <row r="27" spans="2:6" x14ac:dyDescent="0.2">
      <c r="B27" s="7" t="s">
        <v>309</v>
      </c>
      <c r="F27" s="27">
        <f>F24-F25</f>
        <v>48822.793353469911</v>
      </c>
    </row>
    <row r="28" spans="2:6" x14ac:dyDescent="0.2">
      <c r="B28" s="7" t="s">
        <v>310</v>
      </c>
      <c r="F28" s="27">
        <f>F22*P13*F29</f>
        <v>48116.952726102732</v>
      </c>
    </row>
    <row r="29" spans="2:6" x14ac:dyDescent="0.2">
      <c r="B29" s="6" t="s">
        <v>311</v>
      </c>
      <c r="F29" s="15">
        <f>Model!F36</f>
        <v>1481</v>
      </c>
    </row>
    <row r="30" spans="2:6" x14ac:dyDescent="0.2">
      <c r="B30" s="7" t="s">
        <v>312</v>
      </c>
      <c r="F30" s="12">
        <f>F26/F29</f>
        <v>37.713789559621688</v>
      </c>
    </row>
    <row r="31" spans="2:6" x14ac:dyDescent="0.2">
      <c r="B31" s="7" t="s">
        <v>313</v>
      </c>
      <c r="F31" s="12">
        <f>F27/F29</f>
        <v>32.966099495928368</v>
      </c>
    </row>
    <row r="32" spans="2:6" x14ac:dyDescent="0.2">
      <c r="B32" s="7" t="s">
        <v>314</v>
      </c>
      <c r="F32" s="12">
        <f>F28/F29</f>
        <v>32.489502178327299</v>
      </c>
    </row>
    <row r="34" spans="2:2" x14ac:dyDescent="0.2">
      <c r="B34" s="4" t="s">
        <v>315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Outputs</vt:lpstr>
      <vt:lpstr>Inputs</vt:lpstr>
      <vt:lpstr>Model</vt:lpstr>
      <vt:lpstr>DCF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NIKE, Inc. -- 3-Statement Model, DCF &amp; Comps</dc:title>
  <dc:subject>Financial Model</dc:subject>
  <dc:creator>Chetan Puvvadi</dc:creator>
  <dc:description/>
  <cp:lastModifiedBy>PUVVADI, CHETAN (PGT)</cp:lastModifiedBy>
  <cp:revision>1</cp:revision>
  <dcterms:created xsi:type="dcterms:W3CDTF">2026-09-15T18:28:49Z</dcterms:created>
  <dcterms:modified xsi:type="dcterms:W3CDTF">2026-09-23T15:12:24Z</dcterms:modified>
  <dc:language>en-US</dc:language>
</cp:coreProperties>
</file>